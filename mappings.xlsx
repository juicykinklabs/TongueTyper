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V:\_Working\BreezeWorks\GagWriter Remastered\"/>
    </mc:Choice>
  </mc:AlternateContent>
  <xr:revisionPtr revIDLastSave="0" documentId="13_ncr:1_{09C252B9-C23B-4586-A64D-A6BABCCFCD9C}" xr6:coauthVersionLast="47" xr6:coauthVersionMax="47" xr10:uidLastSave="{00000000-0000-0000-0000-000000000000}"/>
  <bookViews>
    <workbookView xWindow="57495" yWindow="8025" windowWidth="19905" windowHeight="163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6" i="1"/>
  <c r="W50" i="1" l="1"/>
  <c r="X50" i="1" s="1"/>
  <c r="Z50" i="1" s="1"/>
  <c r="W53" i="1"/>
  <c r="X53" i="1" s="1"/>
  <c r="Z53" i="1" s="1"/>
  <c r="W45" i="1"/>
  <c r="X45" i="1" s="1"/>
  <c r="Z45" i="1" s="1"/>
  <c r="W37" i="1"/>
  <c r="X37" i="1" s="1"/>
  <c r="Z37" i="1" s="1"/>
  <c r="W42" i="1"/>
  <c r="X42" i="1" s="1"/>
  <c r="Z42" i="1" s="1"/>
  <c r="W34" i="1"/>
  <c r="X34" i="1" s="1"/>
  <c r="Z34" i="1" s="1"/>
  <c r="W26" i="1"/>
  <c r="X26" i="1" s="1"/>
  <c r="Z26" i="1" s="1"/>
  <c r="W10" i="1"/>
  <c r="X10" i="1" s="1"/>
  <c r="Z10" i="1" s="1"/>
  <c r="W29" i="1"/>
  <c r="X29" i="1" s="1"/>
  <c r="Z29" i="1" s="1"/>
  <c r="W49" i="1"/>
  <c r="X49" i="1" s="1"/>
  <c r="Z49" i="1" s="1"/>
  <c r="W41" i="1"/>
  <c r="X41" i="1" s="1"/>
  <c r="Z41" i="1" s="1"/>
  <c r="W33" i="1"/>
  <c r="X33" i="1" s="1"/>
  <c r="Z33" i="1" s="1"/>
  <c r="W25" i="1"/>
  <c r="X25" i="1" s="1"/>
  <c r="Z25" i="1" s="1"/>
  <c r="W17" i="1"/>
  <c r="X17" i="1" s="1"/>
  <c r="Z17" i="1" s="1"/>
  <c r="W9" i="1"/>
  <c r="X9" i="1" s="1"/>
  <c r="Z9" i="1" s="1"/>
  <c r="W52" i="1"/>
  <c r="X52" i="1" s="1"/>
  <c r="Z52" i="1" s="1"/>
  <c r="W44" i="1"/>
  <c r="X44" i="1" s="1"/>
  <c r="Z44" i="1" s="1"/>
  <c r="W36" i="1"/>
  <c r="X36" i="1" s="1"/>
  <c r="Z36" i="1" s="1"/>
  <c r="W28" i="1"/>
  <c r="X28" i="1" s="1"/>
  <c r="Z28" i="1" s="1"/>
  <c r="W20" i="1"/>
  <c r="X20" i="1" s="1"/>
  <c r="Z20" i="1" s="1"/>
  <c r="W12" i="1"/>
  <c r="X12" i="1" s="1"/>
  <c r="Z12" i="1" s="1"/>
  <c r="W18" i="1"/>
  <c r="X18" i="1" s="1"/>
  <c r="Z18" i="1" s="1"/>
  <c r="W6" i="1"/>
  <c r="X6" i="1" s="1"/>
  <c r="Z6" i="1" s="1"/>
  <c r="W47" i="1"/>
  <c r="X47" i="1" s="1"/>
  <c r="Z47" i="1" s="1"/>
  <c r="W39" i="1"/>
  <c r="X39" i="1" s="1"/>
  <c r="Z39" i="1" s="1"/>
  <c r="W31" i="1"/>
  <c r="X31" i="1" s="1"/>
  <c r="Z31" i="1" s="1"/>
  <c r="W23" i="1"/>
  <c r="X23" i="1" s="1"/>
  <c r="Z23" i="1" s="1"/>
  <c r="W15" i="1"/>
  <c r="X15" i="1" s="1"/>
  <c r="Z15" i="1" s="1"/>
  <c r="W7" i="1"/>
  <c r="X7" i="1" s="1"/>
  <c r="Z7" i="1" s="1"/>
  <c r="W21" i="1"/>
  <c r="X21" i="1" s="1"/>
  <c r="Z21" i="1" s="1"/>
  <c r="W13" i="1"/>
  <c r="X13" i="1" s="1"/>
  <c r="Z13" i="1" s="1"/>
  <c r="W51" i="1"/>
  <c r="X51" i="1" s="1"/>
  <c r="Z51" i="1" s="1"/>
  <c r="W43" i="1"/>
  <c r="X43" i="1" s="1"/>
  <c r="Z43" i="1" s="1"/>
  <c r="W35" i="1"/>
  <c r="X35" i="1" s="1"/>
  <c r="Z35" i="1" s="1"/>
  <c r="W27" i="1"/>
  <c r="X27" i="1" s="1"/>
  <c r="Z27" i="1" s="1"/>
  <c r="W19" i="1"/>
  <c r="X19" i="1" s="1"/>
  <c r="Z19" i="1" s="1"/>
  <c r="W11" i="1"/>
  <c r="X11" i="1" s="1"/>
  <c r="Z11" i="1" s="1"/>
  <c r="W54" i="1"/>
  <c r="X54" i="1" s="1"/>
  <c r="Z54" i="1" s="1"/>
  <c r="W46" i="1"/>
  <c r="X46" i="1" s="1"/>
  <c r="Z46" i="1" s="1"/>
  <c r="W38" i="1"/>
  <c r="X38" i="1" s="1"/>
  <c r="Z38" i="1" s="1"/>
  <c r="W30" i="1"/>
  <c r="X30" i="1" s="1"/>
  <c r="Z30" i="1" s="1"/>
  <c r="W22" i="1"/>
  <c r="X22" i="1" s="1"/>
  <c r="Z22" i="1" s="1"/>
  <c r="W14" i="1"/>
  <c r="X14" i="1" s="1"/>
  <c r="Z14" i="1" s="1"/>
  <c r="W48" i="1"/>
  <c r="X48" i="1" s="1"/>
  <c r="Z48" i="1" s="1"/>
  <c r="W40" i="1"/>
  <c r="X40" i="1" s="1"/>
  <c r="Z40" i="1" s="1"/>
  <c r="W32" i="1"/>
  <c r="X32" i="1" s="1"/>
  <c r="Z32" i="1" s="1"/>
  <c r="W24" i="1"/>
  <c r="X24" i="1" s="1"/>
  <c r="Z24" i="1" s="1"/>
  <c r="W16" i="1"/>
  <c r="X16" i="1" s="1"/>
  <c r="Z16" i="1" s="1"/>
  <c r="W8" i="1"/>
  <c r="X8" i="1" s="1"/>
  <c r="Z8" i="1" s="1"/>
  <c r="AP38" i="1" l="1"/>
  <c r="AH38" i="1"/>
  <c r="AO38" i="1"/>
  <c r="AG38" i="1"/>
  <c r="AN38" i="1"/>
  <c r="AF38" i="1"/>
  <c r="AM38" i="1"/>
  <c r="AE38" i="1"/>
  <c r="AL38" i="1"/>
  <c r="AD38" i="1"/>
  <c r="AK38" i="1"/>
  <c r="AC38" i="1"/>
  <c r="AI38" i="1"/>
  <c r="AJ38" i="1"/>
  <c r="AB38" i="1"/>
  <c r="AP46" i="1"/>
  <c r="AH46" i="1"/>
  <c r="AO46" i="1"/>
  <c r="AG46" i="1"/>
  <c r="AN46" i="1"/>
  <c r="AF46" i="1"/>
  <c r="AM46" i="1"/>
  <c r="AE46" i="1"/>
  <c r="AL46" i="1"/>
  <c r="AD46" i="1"/>
  <c r="AK46" i="1"/>
  <c r="AC46" i="1"/>
  <c r="AI46" i="1"/>
  <c r="AB46" i="1"/>
  <c r="AJ46" i="1"/>
  <c r="AK17" i="1"/>
  <c r="AC17" i="1"/>
  <c r="AJ17" i="1"/>
  <c r="AB17" i="1"/>
  <c r="AI17" i="1"/>
  <c r="AP17" i="1"/>
  <c r="AH17" i="1"/>
  <c r="AN17" i="1"/>
  <c r="AF17" i="1"/>
  <c r="AL17" i="1"/>
  <c r="AD17" i="1"/>
  <c r="AO17" i="1"/>
  <c r="AM17" i="1"/>
  <c r="AG17" i="1"/>
  <c r="AE17" i="1"/>
  <c r="AL34" i="1"/>
  <c r="AD34" i="1"/>
  <c r="AK34" i="1"/>
  <c r="AC34" i="1"/>
  <c r="AJ34" i="1"/>
  <c r="AB34" i="1"/>
  <c r="AI34" i="1"/>
  <c r="AP34" i="1"/>
  <c r="AH34" i="1"/>
  <c r="AO34" i="1"/>
  <c r="AG34" i="1"/>
  <c r="AM34" i="1"/>
  <c r="AE34" i="1"/>
  <c r="AF34" i="1"/>
  <c r="AN34" i="1"/>
  <c r="AN52" i="1"/>
  <c r="AF52" i="1"/>
  <c r="AM52" i="1"/>
  <c r="AE52" i="1"/>
  <c r="AL52" i="1"/>
  <c r="AD52" i="1"/>
  <c r="AK52" i="1"/>
  <c r="AC52" i="1"/>
  <c r="AJ52" i="1"/>
  <c r="AB52" i="1"/>
  <c r="AI52" i="1"/>
  <c r="AO52" i="1"/>
  <c r="AG52" i="1"/>
  <c r="AP52" i="1"/>
  <c r="AH52" i="1"/>
  <c r="AI47" i="1"/>
  <c r="AP47" i="1"/>
  <c r="AH47" i="1"/>
  <c r="AO47" i="1"/>
  <c r="AG47" i="1"/>
  <c r="AN47" i="1"/>
  <c r="AF47" i="1"/>
  <c r="AM47" i="1"/>
  <c r="AE47" i="1"/>
  <c r="AL47" i="1"/>
  <c r="AD47" i="1"/>
  <c r="AJ47" i="1"/>
  <c r="AB47" i="1"/>
  <c r="AC47" i="1"/>
  <c r="AK47" i="1"/>
  <c r="AL10" i="1"/>
  <c r="AD10" i="1"/>
  <c r="AK10" i="1"/>
  <c r="AC10" i="1"/>
  <c r="AJ10" i="1"/>
  <c r="AB10" i="1"/>
  <c r="AI10" i="1"/>
  <c r="AM10" i="1"/>
  <c r="AE10" i="1"/>
  <c r="AF10" i="1"/>
  <c r="AP10" i="1"/>
  <c r="AO10" i="1"/>
  <c r="AH10" i="1"/>
  <c r="AN10" i="1"/>
  <c r="AG10" i="1"/>
  <c r="AP9" i="1"/>
  <c r="AH9" i="1"/>
  <c r="AO9" i="1"/>
  <c r="AG9" i="1"/>
  <c r="AJ9" i="1"/>
  <c r="AN9" i="1"/>
  <c r="AF9" i="1"/>
  <c r="AM9" i="1"/>
  <c r="AE9" i="1"/>
  <c r="AL9" i="1"/>
  <c r="AD9" i="1"/>
  <c r="AK9" i="1"/>
  <c r="AC9" i="1"/>
  <c r="AB9" i="1"/>
  <c r="AI9" i="1"/>
  <c r="AP54" i="1"/>
  <c r="AH54" i="1"/>
  <c r="AO54" i="1"/>
  <c r="AG54" i="1"/>
  <c r="AN54" i="1"/>
  <c r="AF54" i="1"/>
  <c r="AM54" i="1"/>
  <c r="AE54" i="1"/>
  <c r="AL54" i="1"/>
  <c r="AD54" i="1"/>
  <c r="AK54" i="1"/>
  <c r="AC54" i="1"/>
  <c r="AI54" i="1"/>
  <c r="AJ54" i="1"/>
  <c r="AB54" i="1"/>
  <c r="AJ40" i="1"/>
  <c r="AB40" i="1"/>
  <c r="AI40" i="1"/>
  <c r="AP40" i="1"/>
  <c r="AH40" i="1"/>
  <c r="AO40" i="1"/>
  <c r="AG40" i="1"/>
  <c r="AN40" i="1"/>
  <c r="AF40" i="1"/>
  <c r="AM40" i="1"/>
  <c r="AE40" i="1"/>
  <c r="AK40" i="1"/>
  <c r="AC40" i="1"/>
  <c r="AL40" i="1"/>
  <c r="AD40" i="1"/>
  <c r="AN12" i="1"/>
  <c r="AF12" i="1"/>
  <c r="AM12" i="1"/>
  <c r="AE12" i="1"/>
  <c r="AL12" i="1"/>
  <c r="AD12" i="1"/>
  <c r="AK12" i="1"/>
  <c r="AC12" i="1"/>
  <c r="AO12" i="1"/>
  <c r="AG12" i="1"/>
  <c r="AP12" i="1"/>
  <c r="AJ12" i="1"/>
  <c r="AI12" i="1"/>
  <c r="AH12" i="1"/>
  <c r="AB12" i="1"/>
  <c r="AJ48" i="1"/>
  <c r="AB48" i="1"/>
  <c r="AI48" i="1"/>
  <c r="AP48" i="1"/>
  <c r="AH48" i="1"/>
  <c r="AO48" i="1"/>
  <c r="AG48" i="1"/>
  <c r="AN48" i="1"/>
  <c r="AF48" i="1"/>
  <c r="AM48" i="1"/>
  <c r="AE48" i="1"/>
  <c r="AK48" i="1"/>
  <c r="AC48" i="1"/>
  <c r="AL48" i="1"/>
  <c r="AD48" i="1"/>
  <c r="AN20" i="1"/>
  <c r="AF20" i="1"/>
  <c r="AM20" i="1"/>
  <c r="AE20" i="1"/>
  <c r="AL20" i="1"/>
  <c r="AD20" i="1"/>
  <c r="AK20" i="1"/>
  <c r="AC20" i="1"/>
  <c r="AI20" i="1"/>
  <c r="AO20" i="1"/>
  <c r="AG20" i="1"/>
  <c r="AH20" i="1"/>
  <c r="AB20" i="1"/>
  <c r="AP20" i="1"/>
  <c r="AJ20" i="1"/>
  <c r="AK33" i="1"/>
  <c r="AC33" i="1"/>
  <c r="AJ33" i="1"/>
  <c r="AB33" i="1"/>
  <c r="AI33" i="1"/>
  <c r="AP33" i="1"/>
  <c r="AH33" i="1"/>
  <c r="AO33" i="1"/>
  <c r="AG33" i="1"/>
  <c r="AN33" i="1"/>
  <c r="AF33" i="1"/>
  <c r="AL33" i="1"/>
  <c r="AD33" i="1"/>
  <c r="AE33" i="1"/>
  <c r="AM33" i="1"/>
  <c r="AO37" i="1"/>
  <c r="AG37" i="1"/>
  <c r="AN37" i="1"/>
  <c r="AF37" i="1"/>
  <c r="AM37" i="1"/>
  <c r="AE37" i="1"/>
  <c r="AL37" i="1"/>
  <c r="AD37" i="1"/>
  <c r="AK37" i="1"/>
  <c r="AC37" i="1"/>
  <c r="AJ37" i="1"/>
  <c r="AB37" i="1"/>
  <c r="AP37" i="1"/>
  <c r="AH37" i="1"/>
  <c r="AI37" i="1"/>
  <c r="AJ16" i="1"/>
  <c r="AB16" i="1"/>
  <c r="AI16" i="1"/>
  <c r="AP16" i="1"/>
  <c r="AH16" i="1"/>
  <c r="AO16" i="1"/>
  <c r="AG16" i="1"/>
  <c r="AM16" i="1"/>
  <c r="AE16" i="1"/>
  <c r="AK16" i="1"/>
  <c r="AC16" i="1"/>
  <c r="AD16" i="1"/>
  <c r="AL16" i="1"/>
  <c r="AN16" i="1"/>
  <c r="AF16" i="1"/>
  <c r="AO13" i="1"/>
  <c r="AG13" i="1"/>
  <c r="AN13" i="1"/>
  <c r="AF13" i="1"/>
  <c r="AM13" i="1"/>
  <c r="AE13" i="1"/>
  <c r="AL13" i="1"/>
  <c r="AD13" i="1"/>
  <c r="AP13" i="1"/>
  <c r="AH13" i="1"/>
  <c r="AB13" i="1"/>
  <c r="AI13" i="1"/>
  <c r="AK13" i="1"/>
  <c r="AJ13" i="1"/>
  <c r="AC13" i="1"/>
  <c r="AL42" i="1"/>
  <c r="AD42" i="1"/>
  <c r="AK42" i="1"/>
  <c r="AC42" i="1"/>
  <c r="AJ42" i="1"/>
  <c r="AB42" i="1"/>
  <c r="AI42" i="1"/>
  <c r="AP42" i="1"/>
  <c r="AH42" i="1"/>
  <c r="AO42" i="1"/>
  <c r="AG42" i="1"/>
  <c r="AM42" i="1"/>
  <c r="AE42" i="1"/>
  <c r="AN42" i="1"/>
  <c r="AF42" i="1"/>
  <c r="AJ24" i="1"/>
  <c r="AB24" i="1"/>
  <c r="AI24" i="1"/>
  <c r="AP24" i="1"/>
  <c r="AH24" i="1"/>
  <c r="AO24" i="1"/>
  <c r="AG24" i="1"/>
  <c r="AM24" i="1"/>
  <c r="AE24" i="1"/>
  <c r="AK24" i="1"/>
  <c r="AC24" i="1"/>
  <c r="AL24" i="1"/>
  <c r="AF24" i="1"/>
  <c r="AD24" i="1"/>
  <c r="AN24" i="1"/>
  <c r="AL26" i="1"/>
  <c r="AD26" i="1"/>
  <c r="AK26" i="1"/>
  <c r="AC26" i="1"/>
  <c r="AJ26" i="1"/>
  <c r="AB26" i="1"/>
  <c r="AI26" i="1"/>
  <c r="AO26" i="1"/>
  <c r="AG26" i="1"/>
  <c r="AM26" i="1"/>
  <c r="AE26" i="1"/>
  <c r="AN26" i="1"/>
  <c r="AH26" i="1"/>
  <c r="AF26" i="1"/>
  <c r="AP26" i="1"/>
  <c r="AL18" i="1"/>
  <c r="AD18" i="1"/>
  <c r="AK18" i="1"/>
  <c r="AC18" i="1"/>
  <c r="AJ18" i="1"/>
  <c r="AB18" i="1"/>
  <c r="AI18" i="1"/>
  <c r="AO18" i="1"/>
  <c r="AG18" i="1"/>
  <c r="AM18" i="1"/>
  <c r="AE18" i="1"/>
  <c r="AF18" i="1"/>
  <c r="AP18" i="1"/>
  <c r="AN18" i="1"/>
  <c r="AH18" i="1"/>
  <c r="AN7" i="1"/>
  <c r="AF7" i="1"/>
  <c r="AM7" i="1"/>
  <c r="AE7" i="1"/>
  <c r="AH7" i="1"/>
  <c r="AL7" i="1"/>
  <c r="AD7" i="1"/>
  <c r="AK7" i="1"/>
  <c r="AC7" i="1"/>
  <c r="AP7" i="1"/>
  <c r="AJ7" i="1"/>
  <c r="AB7" i="1"/>
  <c r="AI7" i="1"/>
  <c r="AO7" i="1"/>
  <c r="AG7" i="1"/>
  <c r="AI15" i="1"/>
  <c r="AP15" i="1"/>
  <c r="AH15" i="1"/>
  <c r="AO15" i="1"/>
  <c r="AG15" i="1"/>
  <c r="AN15" i="1"/>
  <c r="AF15" i="1"/>
  <c r="AL15" i="1"/>
  <c r="AJ15" i="1"/>
  <c r="AB15" i="1"/>
  <c r="AM15" i="1"/>
  <c r="AK15" i="1"/>
  <c r="AE15" i="1"/>
  <c r="AD15" i="1"/>
  <c r="AC15" i="1"/>
  <c r="AM27" i="1"/>
  <c r="AE27" i="1"/>
  <c r="AL27" i="1"/>
  <c r="AD27" i="1"/>
  <c r="AK27" i="1"/>
  <c r="AC27" i="1"/>
  <c r="AJ27" i="1"/>
  <c r="AB27" i="1"/>
  <c r="AP27" i="1"/>
  <c r="AH27" i="1"/>
  <c r="AN27" i="1"/>
  <c r="AF27" i="1"/>
  <c r="AG27" i="1"/>
  <c r="AO27" i="1"/>
  <c r="AI27" i="1"/>
  <c r="AN28" i="1"/>
  <c r="AF28" i="1"/>
  <c r="AM28" i="1"/>
  <c r="AE28" i="1"/>
  <c r="AL28" i="1"/>
  <c r="AD28" i="1"/>
  <c r="AK28" i="1"/>
  <c r="AC28" i="1"/>
  <c r="AI28" i="1"/>
  <c r="AO28" i="1"/>
  <c r="AG28" i="1"/>
  <c r="AP28" i="1"/>
  <c r="AJ28" i="1"/>
  <c r="AH28" i="1"/>
  <c r="AB28" i="1"/>
  <c r="AO45" i="1"/>
  <c r="AG45" i="1"/>
  <c r="AN45" i="1"/>
  <c r="AF45" i="1"/>
  <c r="AM45" i="1"/>
  <c r="AE45" i="1"/>
  <c r="AL45" i="1"/>
  <c r="AD45" i="1"/>
  <c r="AK45" i="1"/>
  <c r="AC45" i="1"/>
  <c r="AJ45" i="1"/>
  <c r="AB45" i="1"/>
  <c r="AP45" i="1"/>
  <c r="AH45" i="1"/>
  <c r="AI45" i="1"/>
  <c r="AM35" i="1"/>
  <c r="AE35" i="1"/>
  <c r="AL35" i="1"/>
  <c r="AD35" i="1"/>
  <c r="AK35" i="1"/>
  <c r="AC35" i="1"/>
  <c r="AJ35" i="1"/>
  <c r="AB35" i="1"/>
  <c r="AI35" i="1"/>
  <c r="AP35" i="1"/>
  <c r="AH35" i="1"/>
  <c r="AN35" i="1"/>
  <c r="AF35" i="1"/>
  <c r="AO35" i="1"/>
  <c r="AG35" i="1"/>
  <c r="AI31" i="1"/>
  <c r="AP31" i="1"/>
  <c r="AH31" i="1"/>
  <c r="AO31" i="1"/>
  <c r="AG31" i="1"/>
  <c r="AN31" i="1"/>
  <c r="AF31" i="1"/>
  <c r="AM31" i="1"/>
  <c r="AE31" i="1"/>
  <c r="AL31" i="1"/>
  <c r="AD31" i="1"/>
  <c r="AJ31" i="1"/>
  <c r="AB31" i="1"/>
  <c r="AK31" i="1"/>
  <c r="AC31" i="1"/>
  <c r="AN36" i="1"/>
  <c r="AF36" i="1"/>
  <c r="AM36" i="1"/>
  <c r="AE36" i="1"/>
  <c r="AL36" i="1"/>
  <c r="AD36" i="1"/>
  <c r="AK36" i="1"/>
  <c r="AC36" i="1"/>
  <c r="AJ36" i="1"/>
  <c r="AB36" i="1"/>
  <c r="AI36" i="1"/>
  <c r="AO36" i="1"/>
  <c r="AG36" i="1"/>
  <c r="AP36" i="1"/>
  <c r="AH36" i="1"/>
  <c r="AK49" i="1"/>
  <c r="AC49" i="1"/>
  <c r="AJ49" i="1"/>
  <c r="AB49" i="1"/>
  <c r="AI49" i="1"/>
  <c r="AP49" i="1"/>
  <c r="AH49" i="1"/>
  <c r="AO49" i="1"/>
  <c r="AG49" i="1"/>
  <c r="AN49" i="1"/>
  <c r="AF49" i="1"/>
  <c r="AL49" i="1"/>
  <c r="AD49" i="1"/>
  <c r="AM49" i="1"/>
  <c r="AE49" i="1"/>
  <c r="AO53" i="1"/>
  <c r="AG53" i="1"/>
  <c r="AN53" i="1"/>
  <c r="AF53" i="1"/>
  <c r="AM53" i="1"/>
  <c r="AE53" i="1"/>
  <c r="AL53" i="1"/>
  <c r="AD53" i="1"/>
  <c r="AK53" i="1"/>
  <c r="AC53" i="1"/>
  <c r="AJ53" i="1"/>
  <c r="AB53" i="1"/>
  <c r="AP53" i="1"/>
  <c r="AH53" i="1"/>
  <c r="AI53" i="1"/>
  <c r="AM51" i="1"/>
  <c r="AE51" i="1"/>
  <c r="AL51" i="1"/>
  <c r="AD51" i="1"/>
  <c r="AK51" i="1"/>
  <c r="AC51" i="1"/>
  <c r="AJ51" i="1"/>
  <c r="AB51" i="1"/>
  <c r="AI51" i="1"/>
  <c r="AP51" i="1"/>
  <c r="AH51" i="1"/>
  <c r="AN51" i="1"/>
  <c r="AF51" i="1"/>
  <c r="AO51" i="1"/>
  <c r="AG51" i="1"/>
  <c r="AM6" i="1"/>
  <c r="AE6" i="1"/>
  <c r="AL6" i="1"/>
  <c r="AD6" i="1"/>
  <c r="AG6" i="1"/>
  <c r="AK6" i="1"/>
  <c r="AC6" i="1"/>
  <c r="AJ6" i="1"/>
  <c r="AB6" i="1"/>
  <c r="AI6" i="1"/>
  <c r="AO6" i="1"/>
  <c r="AP6" i="1"/>
  <c r="AH6" i="1"/>
  <c r="AN6" i="1"/>
  <c r="AF6" i="1"/>
  <c r="AJ32" i="1"/>
  <c r="AB32" i="1"/>
  <c r="AI32" i="1"/>
  <c r="AP32" i="1"/>
  <c r="AH32" i="1"/>
  <c r="AO32" i="1"/>
  <c r="AG32" i="1"/>
  <c r="AN32" i="1"/>
  <c r="AF32" i="1"/>
  <c r="AM32" i="1"/>
  <c r="AE32" i="1"/>
  <c r="AK32" i="1"/>
  <c r="AC32" i="1"/>
  <c r="AL32" i="1"/>
  <c r="AD32" i="1"/>
  <c r="AO21" i="1"/>
  <c r="AG21" i="1"/>
  <c r="AN21" i="1"/>
  <c r="AF21" i="1"/>
  <c r="AM21" i="1"/>
  <c r="AE21" i="1"/>
  <c r="AL21" i="1"/>
  <c r="AD21" i="1"/>
  <c r="AJ21" i="1"/>
  <c r="AB21" i="1"/>
  <c r="AP21" i="1"/>
  <c r="AH21" i="1"/>
  <c r="AK21" i="1"/>
  <c r="AI21" i="1"/>
  <c r="AC21" i="1"/>
  <c r="AM11" i="1"/>
  <c r="AE11" i="1"/>
  <c r="AL11" i="1"/>
  <c r="AD11" i="1"/>
  <c r="AK11" i="1"/>
  <c r="AC11" i="1"/>
  <c r="AJ11" i="1"/>
  <c r="AB11" i="1"/>
  <c r="AN11" i="1"/>
  <c r="AF11" i="1"/>
  <c r="AI11" i="1"/>
  <c r="AP11" i="1"/>
  <c r="AH11" i="1"/>
  <c r="AG11" i="1"/>
  <c r="AO11" i="1"/>
  <c r="AK25" i="1"/>
  <c r="AC25" i="1"/>
  <c r="AJ25" i="1"/>
  <c r="AB25" i="1"/>
  <c r="AI25" i="1"/>
  <c r="AP25" i="1"/>
  <c r="AH25" i="1"/>
  <c r="AN25" i="1"/>
  <c r="AF25" i="1"/>
  <c r="AL25" i="1"/>
  <c r="AD25" i="1"/>
  <c r="AO25" i="1"/>
  <c r="AE25" i="1"/>
  <c r="AM25" i="1"/>
  <c r="AG25" i="1"/>
  <c r="AM19" i="1"/>
  <c r="AE19" i="1"/>
  <c r="AL19" i="1"/>
  <c r="AD19" i="1"/>
  <c r="AK19" i="1"/>
  <c r="AC19" i="1"/>
  <c r="AJ19" i="1"/>
  <c r="AB19" i="1"/>
  <c r="AP19" i="1"/>
  <c r="AH19" i="1"/>
  <c r="AN19" i="1"/>
  <c r="AF19" i="1"/>
  <c r="AO19" i="1"/>
  <c r="AI19" i="1"/>
  <c r="AG19" i="1"/>
  <c r="AH14" i="1"/>
  <c r="AG14" i="1"/>
  <c r="AF14" i="1"/>
  <c r="AM14" i="1"/>
  <c r="AE14" i="1"/>
  <c r="AI14" i="1"/>
  <c r="AJ14" i="1"/>
  <c r="AD14" i="1"/>
  <c r="AC14" i="1"/>
  <c r="AB14" i="1"/>
  <c r="AL14" i="1"/>
  <c r="AK14" i="1"/>
  <c r="AI23" i="1"/>
  <c r="AP23" i="1"/>
  <c r="AH23" i="1"/>
  <c r="AO23" i="1"/>
  <c r="AG23" i="1"/>
  <c r="AN23" i="1"/>
  <c r="AF23" i="1"/>
  <c r="AL23" i="1"/>
  <c r="AD23" i="1"/>
  <c r="AJ23" i="1"/>
  <c r="AB23" i="1"/>
  <c r="AC23" i="1"/>
  <c r="AM23" i="1"/>
  <c r="AK23" i="1"/>
  <c r="AE23" i="1"/>
  <c r="AK41" i="1"/>
  <c r="AC41" i="1"/>
  <c r="AJ41" i="1"/>
  <c r="AB41" i="1"/>
  <c r="AI41" i="1"/>
  <c r="AP41" i="1"/>
  <c r="AH41" i="1"/>
  <c r="AO41" i="1"/>
  <c r="AG41" i="1"/>
  <c r="AN41" i="1"/>
  <c r="AF41" i="1"/>
  <c r="AL41" i="1"/>
  <c r="AD41" i="1"/>
  <c r="AM41" i="1"/>
  <c r="AE41" i="1"/>
  <c r="AP22" i="1"/>
  <c r="AH22" i="1"/>
  <c r="AO22" i="1"/>
  <c r="AG22" i="1"/>
  <c r="AN22" i="1"/>
  <c r="AF22" i="1"/>
  <c r="AM22" i="1"/>
  <c r="AE22" i="1"/>
  <c r="AK22" i="1"/>
  <c r="AC22" i="1"/>
  <c r="AI22" i="1"/>
  <c r="AJ22" i="1"/>
  <c r="AD22" i="1"/>
  <c r="AB22" i="1"/>
  <c r="AL22" i="1"/>
  <c r="AO8" i="1"/>
  <c r="AG8" i="1"/>
  <c r="AI8" i="1"/>
  <c r="AN8" i="1"/>
  <c r="AF8" i="1"/>
  <c r="AM8" i="1"/>
  <c r="AE8" i="1"/>
  <c r="AL8" i="1"/>
  <c r="AD8" i="1"/>
  <c r="AK8" i="1"/>
  <c r="AC8" i="1"/>
  <c r="AJ8" i="1"/>
  <c r="AB8" i="1"/>
  <c r="AP8" i="1"/>
  <c r="AH8" i="1"/>
  <c r="AP30" i="1"/>
  <c r="AH30" i="1"/>
  <c r="AO30" i="1"/>
  <c r="AG30" i="1"/>
  <c r="AN30" i="1"/>
  <c r="AF30" i="1"/>
  <c r="AM30" i="1"/>
  <c r="AE30" i="1"/>
  <c r="AL30" i="1"/>
  <c r="AD30" i="1"/>
  <c r="AK30" i="1"/>
  <c r="AC30" i="1"/>
  <c r="AI30" i="1"/>
  <c r="AB30" i="1"/>
  <c r="AJ30" i="1"/>
  <c r="AM43" i="1"/>
  <c r="AE43" i="1"/>
  <c r="AL43" i="1"/>
  <c r="AD43" i="1"/>
  <c r="AK43" i="1"/>
  <c r="AC43" i="1"/>
  <c r="AJ43" i="1"/>
  <c r="AB43" i="1"/>
  <c r="AI43" i="1"/>
  <c r="AP43" i="1"/>
  <c r="AH43" i="1"/>
  <c r="AN43" i="1"/>
  <c r="AF43" i="1"/>
  <c r="AO43" i="1"/>
  <c r="AG43" i="1"/>
  <c r="AI39" i="1"/>
  <c r="AP39" i="1"/>
  <c r="AH39" i="1"/>
  <c r="AO39" i="1"/>
  <c r="AG39" i="1"/>
  <c r="AN39" i="1"/>
  <c r="AF39" i="1"/>
  <c r="AM39" i="1"/>
  <c r="AE39" i="1"/>
  <c r="AL39" i="1"/>
  <c r="AD39" i="1"/>
  <c r="AJ39" i="1"/>
  <c r="AB39" i="1"/>
  <c r="AK39" i="1"/>
  <c r="AC39" i="1"/>
  <c r="AN44" i="1"/>
  <c r="AF44" i="1"/>
  <c r="AM44" i="1"/>
  <c r="AE44" i="1"/>
  <c r="AL44" i="1"/>
  <c r="AD44" i="1"/>
  <c r="AK44" i="1"/>
  <c r="AC44" i="1"/>
  <c r="AJ44" i="1"/>
  <c r="AB44" i="1"/>
  <c r="AI44" i="1"/>
  <c r="AO44" i="1"/>
  <c r="AG44" i="1"/>
  <c r="AP44" i="1"/>
  <c r="AH44" i="1"/>
  <c r="AO29" i="1"/>
  <c r="AG29" i="1"/>
  <c r="AN29" i="1"/>
  <c r="AF29" i="1"/>
  <c r="AM29" i="1"/>
  <c r="AE29" i="1"/>
  <c r="AL29" i="1"/>
  <c r="AD29" i="1"/>
  <c r="AK29" i="1"/>
  <c r="AC29" i="1"/>
  <c r="AJ29" i="1"/>
  <c r="AB29" i="1"/>
  <c r="AP29" i="1"/>
  <c r="AH29" i="1"/>
  <c r="AI29" i="1"/>
  <c r="AL50" i="1"/>
  <c r="AD50" i="1"/>
  <c r="AK50" i="1"/>
  <c r="AC50" i="1"/>
  <c r="AJ50" i="1"/>
  <c r="AB50" i="1"/>
  <c r="AI50" i="1"/>
  <c r="AP50" i="1"/>
  <c r="AH50" i="1"/>
  <c r="AO50" i="1"/>
  <c r="AG50" i="1"/>
  <c r="AM50" i="1"/>
  <c r="AE50" i="1"/>
  <c r="AF50" i="1"/>
  <c r="AN50" i="1"/>
  <c r="AJ56" i="1" l="1"/>
  <c r="AN56" i="1"/>
  <c r="AK56" i="1"/>
  <c r="AC56" i="1"/>
  <c r="AH56" i="1"/>
  <c r="AG56" i="1"/>
  <c r="AD56" i="1"/>
  <c r="AF56" i="1"/>
  <c r="AL56" i="1"/>
  <c r="AI56" i="1"/>
  <c r="AE56" i="1"/>
  <c r="AB56" i="1"/>
  <c r="AM56" i="1"/>
  <c r="C60" i="1" l="1"/>
</calcChain>
</file>

<file path=xl/sharedStrings.xml><?xml version="1.0" encoding="utf-8"?>
<sst xmlns="http://schemas.openxmlformats.org/spreadsheetml/2006/main" count="166" uniqueCount="128">
  <si>
    <t>Central</t>
  </si>
  <si>
    <t>L</t>
  </si>
  <si>
    <t>P</t>
  </si>
  <si>
    <t>N</t>
  </si>
  <si>
    <t>W</t>
  </si>
  <si>
    <t>R</t>
  </si>
  <si>
    <t>T</t>
  </si>
  <si>
    <t>Ext</t>
  </si>
  <si>
    <t>Mode 1 (classic)</t>
  </si>
  <si>
    <t>letters shown on display + history</t>
  </si>
  <si>
    <t>keys sent to usb</t>
  </si>
  <si>
    <t>action</t>
  </si>
  <si>
    <t>keymap</t>
  </si>
  <si>
    <t>Mode 2 (emoji/sfx)</t>
  </si>
  <si>
    <t>based on letters by freq</t>
  </si>
  <si>
    <t>E</t>
  </si>
  <si>
    <t>O</t>
  </si>
  <si>
    <t>I</t>
  </si>
  <si>
    <t>A</t>
  </si>
  <si>
    <t>S</t>
  </si>
  <si>
    <t>H</t>
  </si>
  <si>
    <t>D</t>
  </si>
  <si>
    <t>C</t>
  </si>
  <si>
    <t>U</t>
  </si>
  <si>
    <t>M</t>
  </si>
  <si>
    <t>F</t>
  </si>
  <si>
    <t>G</t>
  </si>
  <si>
    <t>Y</t>
  </si>
  <si>
    <t>B</t>
  </si>
  <si>
    <t>V</t>
  </si>
  <si>
    <t>K</t>
  </si>
  <si>
    <t>J</t>
  </si>
  <si>
    <t>X</t>
  </si>
  <si>
    <t>Q</t>
  </si>
  <si>
    <t>Z</t>
  </si>
  <si>
    <t>SPACE</t>
  </si>
  <si>
    <t>BACKSPACE</t>
  </si>
  <si>
    <t>hold button to hold input keyboard</t>
  </si>
  <si>
    <t>display/sfx off, only haptics</t>
  </si>
  <si>
    <t>QUESTION</t>
  </si>
  <si>
    <t>PERIOD</t>
  </si>
  <si>
    <t>EXCLAIM</t>
  </si>
  <si>
    <t>mappingspace</t>
  </si>
  <si>
    <t>item1</t>
  </si>
  <si>
    <t>item2</t>
  </si>
  <si>
    <t>button</t>
  </si>
  <si>
    <t>badness1</t>
  </si>
  <si>
    <t>badness2</t>
  </si>
  <si>
    <t>badness total</t>
  </si>
  <si>
    <t>repeat score</t>
  </si>
  <si>
    <t>keyboard mode ease of usage map</t>
  </si>
  <si>
    <t>select from sounds</t>
  </si>
  <si>
    <t>select from images</t>
  </si>
  <si>
    <t>2,</t>
  </si>
  <si>
    <t>A) first</t>
  </si>
  <si>
    <t>B) second</t>
  </si>
  <si>
    <t>select folder 1</t>
  </si>
  <si>
    <t>select folder 2</t>
  </si>
  <si>
    <t>select folder 3</t>
  </si>
  <si>
    <t>select folder 4</t>
  </si>
  <si>
    <t>select folder 5</t>
  </si>
  <si>
    <t>select folder 6</t>
  </si>
  <si>
    <t>select folder 7</t>
  </si>
  <si>
    <t>C) third</t>
  </si>
  <si>
    <t>run file 1</t>
  </si>
  <si>
    <t>run file 2</t>
  </si>
  <si>
    <t>run file 3</t>
  </si>
  <si>
    <t>run file 4</t>
  </si>
  <si>
    <t>run file 5</t>
  </si>
  <si>
    <t>run file 6</t>
  </si>
  <si>
    <t>run file 7</t>
  </si>
  <si>
    <t>raw badness</t>
  </si>
  <si>
    <t>opose penal</t>
  </si>
  <si>
    <t>final</t>
  </si>
  <si>
    <t>SHIFT (TOGGLE)</t>
  </si>
  <si>
    <t>list:</t>
  </si>
  <si>
    <t>3 button combos</t>
  </si>
  <si>
    <t>49 sfx/49 images</t>
  </si>
  <si>
    <t>modeX</t>
  </si>
  <si>
    <t>Buttons Regular</t>
  </si>
  <si>
    <t>Buttons SuperMax</t>
  </si>
  <si>
    <t>ENTER</t>
  </si>
  <si>
    <t>ok so it goes</t>
  </si>
  <si>
    <t>tip</t>
  </si>
  <si>
    <t>fren</t>
  </si>
  <si>
    <t>shaft</t>
  </si>
  <si>
    <t>left near</t>
  </si>
  <si>
    <t>right near</t>
  </si>
  <si>
    <t>left far</t>
  </si>
  <si>
    <t>right far</t>
  </si>
  <si>
    <t>Mode 3 (joysick gaming, accelerometer does mouse movement)</t>
  </si>
  <si>
    <t>name in this sheet</t>
  </si>
  <si>
    <t>name in schematic</t>
  </si>
  <si>
    <t>Click L</t>
  </si>
  <si>
    <t>Click R</t>
  </si>
  <si>
    <t>TAB</t>
  </si>
  <si>
    <t>unused:</t>
  </si>
  <si>
    <t>tip - 0</t>
  </si>
  <si>
    <t>near - 4</t>
  </si>
  <si>
    <t>far - 6</t>
  </si>
  <si>
    <t>topside - 8</t>
  </si>
  <si>
    <t>fren - 1</t>
  </si>
  <si>
    <t>mid - 2</t>
  </si>
  <si>
    <t>near - 3</t>
  </si>
  <si>
    <t>far - 5</t>
  </si>
  <si>
    <t>low - 7</t>
  </si>
  <si>
    <t>ID in code</t>
  </si>
  <si>
    <t>0,4</t>
  </si>
  <si>
    <t>0,5</t>
  </si>
  <si>
    <t>0,1</t>
  </si>
  <si>
    <t>0,2</t>
  </si>
  <si>
    <t>0,3</t>
  </si>
  <si>
    <t>0,0</t>
  </si>
  <si>
    <t>1,</t>
  </si>
  <si>
    <t>simultaneous image/sound</t>
  </si>
  <si>
    <t>5,</t>
  </si>
  <si>
    <t>gpio expander</t>
  </si>
  <si>
    <t>A7</t>
  </si>
  <si>
    <t>A3</t>
  </si>
  <si>
    <t>A1</t>
  </si>
  <si>
    <t>A4</t>
  </si>
  <si>
    <t>A6</t>
  </si>
  <si>
    <t>A0</t>
  </si>
  <si>
    <t>A2</t>
  </si>
  <si>
    <t>A5</t>
  </si>
  <si>
    <t>sig reserved</t>
  </si>
  <si>
    <t>B0</t>
  </si>
  <si>
    <t>0,6 I 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</si>
</sst>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P76"/>
  <sheetViews>
    <sheetView tabSelected="1" topLeftCell="C23" zoomScale="85" zoomScaleNormal="85" workbookViewId="0">
      <selection activeCell="O35" sqref="O35"/>
    </sheetView>
  </sheetViews>
  <sheetFormatPr defaultRowHeight="15" x14ac:dyDescent="0.25"/>
  <cols>
    <col min="3" max="3" width="11" customWidth="1"/>
    <col min="4" max="4" width="11.140625" customWidth="1"/>
    <col min="5" max="5" width="13.42578125" customWidth="1"/>
    <col min="6" max="6" width="24.42578125" customWidth="1"/>
    <col min="10" max="10" width="32.7109375" bestFit="1" customWidth="1"/>
    <col min="13" max="13" width="17.5703125" bestFit="1" customWidth="1"/>
    <col min="14" max="14" width="17.7109375" bestFit="1" customWidth="1"/>
    <col min="17" max="17" width="11.42578125" customWidth="1"/>
    <col min="23" max="23" width="12.85546875" bestFit="1" customWidth="1"/>
    <col min="24" max="24" width="12" bestFit="1" customWidth="1"/>
    <col min="25" max="25" width="12.85546875" customWidth="1"/>
    <col min="26" max="26" width="6" customWidth="1"/>
    <col min="27" max="27" width="8.7109375" customWidth="1"/>
    <col min="28" max="39" width="20.7109375" customWidth="1"/>
  </cols>
  <sheetData>
    <row r="4" spans="2:42" x14ac:dyDescent="0.25">
      <c r="C4" t="s">
        <v>79</v>
      </c>
      <c r="P4" t="s">
        <v>45</v>
      </c>
      <c r="Q4" t="s">
        <v>71</v>
      </c>
      <c r="S4" t="s">
        <v>42</v>
      </c>
      <c r="AB4" t="s">
        <v>50</v>
      </c>
    </row>
    <row r="5" spans="2:42" x14ac:dyDescent="0.25">
      <c r="C5" t="s">
        <v>0</v>
      </c>
      <c r="D5" t="s">
        <v>1</v>
      </c>
      <c r="E5" t="s">
        <v>5</v>
      </c>
      <c r="P5">
        <v>0</v>
      </c>
      <c r="Q5">
        <v>4</v>
      </c>
      <c r="S5" t="s">
        <v>43</v>
      </c>
      <c r="T5" t="s">
        <v>44</v>
      </c>
      <c r="U5" t="s">
        <v>46</v>
      </c>
      <c r="V5" t="s">
        <v>47</v>
      </c>
      <c r="W5" t="s">
        <v>48</v>
      </c>
      <c r="X5" t="s">
        <v>49</v>
      </c>
      <c r="Y5" t="s">
        <v>72</v>
      </c>
      <c r="Z5" t="s">
        <v>73</v>
      </c>
      <c r="AB5">
        <v>0</v>
      </c>
      <c r="AC5">
        <v>1</v>
      </c>
      <c r="AD5">
        <v>2</v>
      </c>
      <c r="AE5">
        <v>3</v>
      </c>
      <c r="AF5">
        <v>4</v>
      </c>
      <c r="AG5">
        <v>5</v>
      </c>
      <c r="AH5">
        <v>6</v>
      </c>
      <c r="AI5">
        <v>7</v>
      </c>
      <c r="AJ5">
        <v>8</v>
      </c>
      <c r="AK5">
        <v>9</v>
      </c>
      <c r="AL5">
        <v>10</v>
      </c>
      <c r="AM5">
        <v>11</v>
      </c>
    </row>
    <row r="6" spans="2:42" x14ac:dyDescent="0.25">
      <c r="C6" t="s">
        <v>97</v>
      </c>
      <c r="D6" t="s">
        <v>103</v>
      </c>
      <c r="E6" t="s">
        <v>98</v>
      </c>
      <c r="P6">
        <v>1</v>
      </c>
      <c r="Q6">
        <v>1</v>
      </c>
      <c r="S6">
        <v>0</v>
      </c>
      <c r="T6">
        <v>0</v>
      </c>
      <c r="U6">
        <f>VLOOKUP(S6,$P$5:$Q$14,2)</f>
        <v>4</v>
      </c>
      <c r="V6">
        <f>VLOOKUP(T6,$P$5:$Q$14,2)</f>
        <v>4</v>
      </c>
      <c r="W6">
        <f>U6+V6</f>
        <v>8</v>
      </c>
      <c r="X6">
        <f>W6-2</f>
        <v>6</v>
      </c>
      <c r="Z6">
        <f>X6+Y6</f>
        <v>6</v>
      </c>
      <c r="AB6" t="str">
        <f t="shared" ref="AB6:AM15" si="0">IF($Z6=AB$5,_xlfn.CONCAT($S6,$T6), "")</f>
        <v/>
      </c>
      <c r="AC6" t="str">
        <f t="shared" si="0"/>
        <v/>
      </c>
      <c r="AD6" t="str">
        <f t="shared" si="0"/>
        <v/>
      </c>
      <c r="AE6" t="str">
        <f t="shared" si="0"/>
        <v/>
      </c>
      <c r="AF6" t="str">
        <f t="shared" si="0"/>
        <v/>
      </c>
      <c r="AG6" t="str">
        <f t="shared" si="0"/>
        <v/>
      </c>
      <c r="AH6" t="str">
        <f t="shared" si="0"/>
        <v>00</v>
      </c>
      <c r="AI6" t="str">
        <f t="shared" si="0"/>
        <v/>
      </c>
      <c r="AJ6" t="str">
        <f t="shared" si="0"/>
        <v/>
      </c>
      <c r="AK6" t="str">
        <f t="shared" si="0"/>
        <v/>
      </c>
      <c r="AL6" t="str">
        <f t="shared" si="0"/>
        <v/>
      </c>
      <c r="AM6" t="str">
        <f t="shared" si="0"/>
        <v/>
      </c>
      <c r="AN6" t="str">
        <f t="shared" ref="AN6:AP21" si="1">IF($Z6=AN$5,_xlfn.CONCAT($S6,$T6), "")</f>
        <v/>
      </c>
      <c r="AO6" t="str">
        <f t="shared" si="1"/>
        <v/>
      </c>
      <c r="AP6" t="str">
        <f t="shared" si="1"/>
        <v/>
      </c>
    </row>
    <row r="7" spans="2:42" x14ac:dyDescent="0.25">
      <c r="C7" t="s">
        <v>101</v>
      </c>
      <c r="D7" t="s">
        <v>104</v>
      </c>
      <c r="E7" t="s">
        <v>99</v>
      </c>
      <c r="P7">
        <v>2</v>
      </c>
      <c r="Q7">
        <v>3</v>
      </c>
      <c r="S7">
        <v>0</v>
      </c>
      <c r="T7">
        <v>1</v>
      </c>
      <c r="U7">
        <f t="shared" ref="U7:U54" si="2">VLOOKUP(S7,$P$5:$Q$14,2)</f>
        <v>4</v>
      </c>
      <c r="V7">
        <f t="shared" ref="V7:V54" si="3">VLOOKUP(T7,$P$5:$Q$14,2)</f>
        <v>1</v>
      </c>
      <c r="W7">
        <f t="shared" ref="W7:W54" si="4">U7+V7</f>
        <v>5</v>
      </c>
      <c r="X7">
        <f>W7</f>
        <v>5</v>
      </c>
      <c r="Z7">
        <f t="shared" ref="Z7:Z54" si="5">X7+Y7</f>
        <v>5</v>
      </c>
      <c r="AB7" t="str">
        <f t="shared" si="0"/>
        <v/>
      </c>
      <c r="AC7" t="str">
        <f t="shared" si="0"/>
        <v/>
      </c>
      <c r="AD7" t="str">
        <f t="shared" si="0"/>
        <v/>
      </c>
      <c r="AE7" t="str">
        <f t="shared" si="0"/>
        <v/>
      </c>
      <c r="AF7" t="str">
        <f t="shared" si="0"/>
        <v/>
      </c>
      <c r="AG7" t="str">
        <f t="shared" si="0"/>
        <v>01</v>
      </c>
      <c r="AH7" t="str">
        <f t="shared" si="0"/>
        <v/>
      </c>
      <c r="AI7" t="str">
        <f t="shared" si="0"/>
        <v/>
      </c>
      <c r="AJ7" t="str">
        <f t="shared" si="0"/>
        <v/>
      </c>
      <c r="AK7" t="str">
        <f t="shared" si="0"/>
        <v/>
      </c>
      <c r="AL7" t="str">
        <f t="shared" si="0"/>
        <v/>
      </c>
      <c r="AM7" t="str">
        <f t="shared" si="0"/>
        <v/>
      </c>
      <c r="AN7" t="str">
        <f t="shared" si="1"/>
        <v/>
      </c>
      <c r="AO7" t="str">
        <f t="shared" si="1"/>
        <v/>
      </c>
      <c r="AP7" t="str">
        <f t="shared" si="1"/>
        <v/>
      </c>
    </row>
    <row r="8" spans="2:42" x14ac:dyDescent="0.25">
      <c r="C8" t="s">
        <v>102</v>
      </c>
      <c r="P8">
        <v>3</v>
      </c>
      <c r="Q8">
        <v>2</v>
      </c>
      <c r="S8">
        <v>0</v>
      </c>
      <c r="T8">
        <v>2</v>
      </c>
      <c r="U8">
        <f t="shared" si="2"/>
        <v>4</v>
      </c>
      <c r="V8">
        <f t="shared" si="3"/>
        <v>3</v>
      </c>
      <c r="W8">
        <f t="shared" si="4"/>
        <v>7</v>
      </c>
      <c r="X8">
        <f t="shared" ref="X8:X13" si="6">W8</f>
        <v>7</v>
      </c>
      <c r="Z8">
        <f t="shared" si="5"/>
        <v>7</v>
      </c>
      <c r="AB8" t="str">
        <f t="shared" si="0"/>
        <v/>
      </c>
      <c r="AC8" t="str">
        <f t="shared" si="0"/>
        <v/>
      </c>
      <c r="AD8" t="str">
        <f t="shared" si="0"/>
        <v/>
      </c>
      <c r="AE8" t="str">
        <f t="shared" si="0"/>
        <v/>
      </c>
      <c r="AF8" t="str">
        <f t="shared" si="0"/>
        <v/>
      </c>
      <c r="AG8" t="str">
        <f t="shared" si="0"/>
        <v/>
      </c>
      <c r="AH8" t="str">
        <f t="shared" si="0"/>
        <v/>
      </c>
      <c r="AI8" t="str">
        <f t="shared" si="0"/>
        <v>02</v>
      </c>
      <c r="AJ8" t="str">
        <f t="shared" si="0"/>
        <v/>
      </c>
      <c r="AK8" t="str">
        <f t="shared" si="0"/>
        <v/>
      </c>
      <c r="AL8" t="str">
        <f t="shared" si="0"/>
        <v/>
      </c>
      <c r="AM8" t="str">
        <f t="shared" si="0"/>
        <v/>
      </c>
      <c r="AN8" t="str">
        <f t="shared" si="1"/>
        <v/>
      </c>
      <c r="AO8" t="str">
        <f t="shared" si="1"/>
        <v/>
      </c>
      <c r="AP8" t="str">
        <f t="shared" si="1"/>
        <v/>
      </c>
    </row>
    <row r="9" spans="2:42" x14ac:dyDescent="0.25">
      <c r="P9">
        <v>4</v>
      </c>
      <c r="Q9">
        <v>2</v>
      </c>
      <c r="S9">
        <v>0</v>
      </c>
      <c r="T9">
        <v>3</v>
      </c>
      <c r="U9">
        <f t="shared" si="2"/>
        <v>4</v>
      </c>
      <c r="V9">
        <f t="shared" si="3"/>
        <v>2</v>
      </c>
      <c r="W9">
        <f t="shared" si="4"/>
        <v>6</v>
      </c>
      <c r="X9">
        <f t="shared" si="6"/>
        <v>6</v>
      </c>
      <c r="Z9">
        <f t="shared" si="5"/>
        <v>6</v>
      </c>
      <c r="AB9" t="str">
        <f t="shared" si="0"/>
        <v/>
      </c>
      <c r="AC9" t="str">
        <f t="shared" si="0"/>
        <v/>
      </c>
      <c r="AD9" t="str">
        <f t="shared" si="0"/>
        <v/>
      </c>
      <c r="AE9" t="str">
        <f t="shared" si="0"/>
        <v/>
      </c>
      <c r="AF9" t="str">
        <f t="shared" si="0"/>
        <v/>
      </c>
      <c r="AG9" t="str">
        <f t="shared" si="0"/>
        <v/>
      </c>
      <c r="AH9" t="str">
        <f t="shared" si="0"/>
        <v>03</v>
      </c>
      <c r="AI9" t="str">
        <f t="shared" si="0"/>
        <v/>
      </c>
      <c r="AJ9" t="str">
        <f t="shared" si="0"/>
        <v/>
      </c>
      <c r="AK9" t="str">
        <f t="shared" si="0"/>
        <v/>
      </c>
      <c r="AL9" t="str">
        <f t="shared" si="0"/>
        <v/>
      </c>
      <c r="AM9" t="str">
        <f t="shared" si="0"/>
        <v/>
      </c>
      <c r="AN9" t="str">
        <f t="shared" si="1"/>
        <v/>
      </c>
      <c r="AO9" t="str">
        <f t="shared" si="1"/>
        <v/>
      </c>
      <c r="AP9" t="str">
        <f t="shared" si="1"/>
        <v/>
      </c>
    </row>
    <row r="10" spans="2:42" x14ac:dyDescent="0.25">
      <c r="C10" t="s">
        <v>80</v>
      </c>
      <c r="P10">
        <v>5</v>
      </c>
      <c r="Q10">
        <v>5</v>
      </c>
      <c r="S10">
        <v>0</v>
      </c>
      <c r="T10">
        <v>4</v>
      </c>
      <c r="U10">
        <f t="shared" si="2"/>
        <v>4</v>
      </c>
      <c r="V10">
        <f t="shared" si="3"/>
        <v>2</v>
      </c>
      <c r="W10">
        <f t="shared" si="4"/>
        <v>6</v>
      </c>
      <c r="X10">
        <f t="shared" si="6"/>
        <v>6</v>
      </c>
      <c r="Z10">
        <f t="shared" si="5"/>
        <v>6</v>
      </c>
      <c r="AB10" t="str">
        <f t="shared" si="0"/>
        <v/>
      </c>
      <c r="AC10" t="str">
        <f t="shared" si="0"/>
        <v/>
      </c>
      <c r="AD10" t="str">
        <f t="shared" si="0"/>
        <v/>
      </c>
      <c r="AE10" t="str">
        <f t="shared" si="0"/>
        <v/>
      </c>
      <c r="AF10" t="str">
        <f t="shared" si="0"/>
        <v/>
      </c>
      <c r="AG10" t="str">
        <f t="shared" si="0"/>
        <v/>
      </c>
      <c r="AH10" t="str">
        <f t="shared" si="0"/>
        <v>04</v>
      </c>
      <c r="AI10" t="str">
        <f t="shared" si="0"/>
        <v/>
      </c>
      <c r="AJ10" t="str">
        <f t="shared" si="0"/>
        <v/>
      </c>
      <c r="AK10" t="str">
        <f t="shared" si="0"/>
        <v/>
      </c>
      <c r="AL10" t="str">
        <f t="shared" si="0"/>
        <v/>
      </c>
      <c r="AM10" t="str">
        <f t="shared" si="0"/>
        <v/>
      </c>
      <c r="AN10" t="str">
        <f t="shared" si="1"/>
        <v/>
      </c>
      <c r="AO10" t="str">
        <f t="shared" si="1"/>
        <v/>
      </c>
      <c r="AP10" t="str">
        <f t="shared" si="1"/>
        <v/>
      </c>
    </row>
    <row r="11" spans="2:42" x14ac:dyDescent="0.25">
      <c r="B11" t="s">
        <v>7</v>
      </c>
      <c r="C11" t="s">
        <v>0</v>
      </c>
      <c r="D11" t="s">
        <v>1</v>
      </c>
      <c r="E11" t="s">
        <v>5</v>
      </c>
      <c r="P11">
        <v>6</v>
      </c>
      <c r="Q11">
        <v>5</v>
      </c>
      <c r="S11">
        <v>0</v>
      </c>
      <c r="T11">
        <v>5</v>
      </c>
      <c r="U11">
        <f t="shared" si="2"/>
        <v>4</v>
      </c>
      <c r="V11">
        <f t="shared" si="3"/>
        <v>5</v>
      </c>
      <c r="W11">
        <f t="shared" si="4"/>
        <v>9</v>
      </c>
      <c r="X11">
        <f t="shared" si="6"/>
        <v>9</v>
      </c>
      <c r="Z11">
        <f t="shared" si="5"/>
        <v>9</v>
      </c>
      <c r="AB11" t="str">
        <f t="shared" si="0"/>
        <v/>
      </c>
      <c r="AC11" t="str">
        <f t="shared" si="0"/>
        <v/>
      </c>
      <c r="AD11" t="str">
        <f t="shared" si="0"/>
        <v/>
      </c>
      <c r="AE11" t="str">
        <f t="shared" si="0"/>
        <v/>
      </c>
      <c r="AF11" t="str">
        <f t="shared" si="0"/>
        <v/>
      </c>
      <c r="AG11" t="str">
        <f t="shared" si="0"/>
        <v/>
      </c>
      <c r="AH11" t="str">
        <f t="shared" si="0"/>
        <v/>
      </c>
      <c r="AI11" t="str">
        <f t="shared" si="0"/>
        <v/>
      </c>
      <c r="AJ11" t="str">
        <f t="shared" si="0"/>
        <v/>
      </c>
      <c r="AK11" t="str">
        <f t="shared" si="0"/>
        <v>05</v>
      </c>
      <c r="AL11" t="str">
        <f t="shared" si="0"/>
        <v/>
      </c>
      <c r="AM11" t="str">
        <f t="shared" si="0"/>
        <v/>
      </c>
      <c r="AN11" t="str">
        <f t="shared" si="1"/>
        <v/>
      </c>
      <c r="AO11" t="str">
        <f t="shared" si="1"/>
        <v/>
      </c>
      <c r="AP11" t="str">
        <f t="shared" si="1"/>
        <v/>
      </c>
    </row>
    <row r="12" spans="2:42" x14ac:dyDescent="0.25">
      <c r="B12" t="s">
        <v>78</v>
      </c>
      <c r="C12" t="s">
        <v>97</v>
      </c>
      <c r="D12" t="s">
        <v>103</v>
      </c>
      <c r="E12" t="s">
        <v>98</v>
      </c>
      <c r="P12">
        <v>7</v>
      </c>
      <c r="Q12">
        <v>7</v>
      </c>
      <c r="S12">
        <v>0</v>
      </c>
      <c r="T12">
        <v>6</v>
      </c>
      <c r="U12">
        <f t="shared" si="2"/>
        <v>4</v>
      </c>
      <c r="V12">
        <f t="shared" si="3"/>
        <v>5</v>
      </c>
      <c r="W12">
        <f t="shared" si="4"/>
        <v>9</v>
      </c>
      <c r="X12">
        <f t="shared" si="6"/>
        <v>9</v>
      </c>
      <c r="Z12">
        <f t="shared" si="5"/>
        <v>9</v>
      </c>
      <c r="AB12" t="str">
        <f t="shared" si="0"/>
        <v/>
      </c>
      <c r="AC12" t="str">
        <f t="shared" si="0"/>
        <v/>
      </c>
      <c r="AD12" t="str">
        <f t="shared" si="0"/>
        <v/>
      </c>
      <c r="AE12" t="str">
        <f t="shared" si="0"/>
        <v/>
      </c>
      <c r="AF12" t="str">
        <f t="shared" si="0"/>
        <v/>
      </c>
      <c r="AG12" t="str">
        <f t="shared" si="0"/>
        <v/>
      </c>
      <c r="AH12" t="str">
        <f t="shared" si="0"/>
        <v/>
      </c>
      <c r="AI12" t="str">
        <f t="shared" si="0"/>
        <v/>
      </c>
      <c r="AJ12" t="str">
        <f t="shared" si="0"/>
        <v/>
      </c>
      <c r="AK12" t="str">
        <f t="shared" si="0"/>
        <v>06</v>
      </c>
      <c r="AL12" t="str">
        <f t="shared" si="0"/>
        <v/>
      </c>
      <c r="AM12" t="str">
        <f t="shared" si="0"/>
        <v/>
      </c>
      <c r="AN12" t="str">
        <f t="shared" si="1"/>
        <v/>
      </c>
      <c r="AO12" t="str">
        <f t="shared" si="1"/>
        <v/>
      </c>
      <c r="AP12" t="str">
        <f t="shared" si="1"/>
        <v/>
      </c>
    </row>
    <row r="13" spans="2:42" x14ac:dyDescent="0.25">
      <c r="C13" t="s">
        <v>101</v>
      </c>
      <c r="D13" t="s">
        <v>104</v>
      </c>
      <c r="E13" t="s">
        <v>99</v>
      </c>
      <c r="P13">
        <v>8</v>
      </c>
      <c r="Q13">
        <v>7</v>
      </c>
      <c r="S13">
        <v>1</v>
      </c>
      <c r="T13">
        <v>0</v>
      </c>
      <c r="U13">
        <f t="shared" si="2"/>
        <v>1</v>
      </c>
      <c r="V13">
        <f t="shared" si="3"/>
        <v>4</v>
      </c>
      <c r="W13">
        <f t="shared" si="4"/>
        <v>5</v>
      </c>
      <c r="X13">
        <f t="shared" si="6"/>
        <v>5</v>
      </c>
      <c r="Z13">
        <f t="shared" si="5"/>
        <v>5</v>
      </c>
      <c r="AB13" t="str">
        <f t="shared" si="0"/>
        <v/>
      </c>
      <c r="AC13" t="str">
        <f t="shared" si="0"/>
        <v/>
      </c>
      <c r="AD13" t="str">
        <f t="shared" si="0"/>
        <v/>
      </c>
      <c r="AE13" t="str">
        <f t="shared" si="0"/>
        <v/>
      </c>
      <c r="AF13" t="str">
        <f t="shared" si="0"/>
        <v/>
      </c>
      <c r="AG13" t="str">
        <f t="shared" si="0"/>
        <v>10</v>
      </c>
      <c r="AH13" t="str">
        <f t="shared" si="0"/>
        <v/>
      </c>
      <c r="AI13" t="str">
        <f t="shared" si="0"/>
        <v/>
      </c>
      <c r="AJ13" t="str">
        <f t="shared" si="0"/>
        <v/>
      </c>
      <c r="AK13" t="str">
        <f t="shared" si="0"/>
        <v/>
      </c>
      <c r="AL13" t="str">
        <f t="shared" si="0"/>
        <v/>
      </c>
      <c r="AM13" t="str">
        <f t="shared" si="0"/>
        <v/>
      </c>
      <c r="AN13" t="str">
        <f t="shared" si="1"/>
        <v/>
      </c>
      <c r="AO13" t="str">
        <f t="shared" si="1"/>
        <v/>
      </c>
      <c r="AP13" t="str">
        <f t="shared" si="1"/>
        <v/>
      </c>
    </row>
    <row r="14" spans="2:42" x14ac:dyDescent="0.25">
      <c r="C14" t="s">
        <v>102</v>
      </c>
      <c r="P14">
        <v>9</v>
      </c>
      <c r="Q14">
        <v>0</v>
      </c>
      <c r="S14">
        <v>1</v>
      </c>
      <c r="T14">
        <v>1</v>
      </c>
      <c r="U14">
        <f t="shared" si="2"/>
        <v>1</v>
      </c>
      <c r="V14">
        <f t="shared" si="3"/>
        <v>1</v>
      </c>
      <c r="W14">
        <f t="shared" si="4"/>
        <v>2</v>
      </c>
      <c r="X14">
        <f>W14-2</f>
        <v>0</v>
      </c>
      <c r="Z14">
        <f t="shared" si="5"/>
        <v>0</v>
      </c>
      <c r="AB14" t="str">
        <f t="shared" si="0"/>
        <v>11</v>
      </c>
      <c r="AC14" t="str">
        <f t="shared" si="0"/>
        <v/>
      </c>
      <c r="AD14" t="str">
        <f t="shared" si="0"/>
        <v/>
      </c>
      <c r="AE14" t="str">
        <f t="shared" si="0"/>
        <v/>
      </c>
      <c r="AF14" t="str">
        <f t="shared" si="0"/>
        <v/>
      </c>
      <c r="AG14" t="str">
        <f t="shared" si="0"/>
        <v/>
      </c>
      <c r="AH14" t="str">
        <f t="shared" si="0"/>
        <v/>
      </c>
      <c r="AI14" t="str">
        <f t="shared" si="0"/>
        <v/>
      </c>
      <c r="AJ14" t="str">
        <f t="shared" si="0"/>
        <v/>
      </c>
      <c r="AK14" t="str">
        <f t="shared" si="0"/>
        <v/>
      </c>
      <c r="AL14" t="str">
        <f t="shared" si="0"/>
        <v/>
      </c>
      <c r="AM14" t="str">
        <f t="shared" si="0"/>
        <v/>
      </c>
    </row>
    <row r="15" spans="2:42" x14ac:dyDescent="0.25">
      <c r="C15" t="s">
        <v>105</v>
      </c>
      <c r="S15">
        <v>1</v>
      </c>
      <c r="T15">
        <v>2</v>
      </c>
      <c r="U15">
        <f t="shared" si="2"/>
        <v>1</v>
      </c>
      <c r="V15">
        <f t="shared" si="3"/>
        <v>3</v>
      </c>
      <c r="W15">
        <f t="shared" si="4"/>
        <v>4</v>
      </c>
      <c r="X15">
        <f>W15</f>
        <v>4</v>
      </c>
      <c r="Z15">
        <f t="shared" si="5"/>
        <v>4</v>
      </c>
      <c r="AB15" t="str">
        <f t="shared" si="0"/>
        <v/>
      </c>
      <c r="AC15" t="str">
        <f t="shared" si="0"/>
        <v/>
      </c>
      <c r="AD15" t="str">
        <f t="shared" si="0"/>
        <v/>
      </c>
      <c r="AE15" t="str">
        <f t="shared" si="0"/>
        <v/>
      </c>
      <c r="AF15" t="str">
        <f t="shared" si="0"/>
        <v>12</v>
      </c>
      <c r="AG15" t="str">
        <f t="shared" si="0"/>
        <v/>
      </c>
      <c r="AH15" t="str">
        <f t="shared" si="0"/>
        <v/>
      </c>
      <c r="AI15" t="str">
        <f t="shared" si="0"/>
        <v/>
      </c>
      <c r="AJ15" t="str">
        <f t="shared" si="0"/>
        <v/>
      </c>
      <c r="AK15" t="str">
        <f t="shared" si="0"/>
        <v/>
      </c>
      <c r="AL15" t="str">
        <f t="shared" si="0"/>
        <v/>
      </c>
      <c r="AM15" t="str">
        <f t="shared" si="0"/>
        <v/>
      </c>
      <c r="AN15" t="str">
        <f t="shared" si="1"/>
        <v/>
      </c>
      <c r="AO15" t="str">
        <f t="shared" si="1"/>
        <v/>
      </c>
      <c r="AP15" t="str">
        <f t="shared" si="1"/>
        <v/>
      </c>
    </row>
    <row r="16" spans="2:42" x14ac:dyDescent="0.25">
      <c r="C16" s="3" t="s">
        <v>100</v>
      </c>
      <c r="S16">
        <v>1</v>
      </c>
      <c r="T16">
        <v>3</v>
      </c>
      <c r="U16">
        <f t="shared" si="2"/>
        <v>1</v>
      </c>
      <c r="V16">
        <f t="shared" si="3"/>
        <v>2</v>
      </c>
      <c r="W16">
        <f t="shared" si="4"/>
        <v>3</v>
      </c>
      <c r="X16">
        <f t="shared" ref="X16:X21" si="7">W16</f>
        <v>3</v>
      </c>
      <c r="Z16">
        <f t="shared" si="5"/>
        <v>3</v>
      </c>
      <c r="AB16" t="str">
        <f t="shared" ref="AB16:AM25" si="8">IF($Z16=AB$5,_xlfn.CONCAT($S16,$T16), "")</f>
        <v/>
      </c>
      <c r="AC16" t="str">
        <f t="shared" si="8"/>
        <v/>
      </c>
      <c r="AD16" t="str">
        <f t="shared" si="8"/>
        <v/>
      </c>
      <c r="AE16" t="str">
        <f t="shared" si="8"/>
        <v>13</v>
      </c>
      <c r="AF16" t="str">
        <f t="shared" si="8"/>
        <v/>
      </c>
      <c r="AG16" t="str">
        <f t="shared" si="8"/>
        <v/>
      </c>
      <c r="AH16" t="str">
        <f t="shared" si="8"/>
        <v/>
      </c>
      <c r="AI16" t="str">
        <f t="shared" si="8"/>
        <v/>
      </c>
      <c r="AJ16" t="str">
        <f t="shared" si="8"/>
        <v/>
      </c>
      <c r="AK16" t="str">
        <f t="shared" si="8"/>
        <v/>
      </c>
      <c r="AL16" t="str">
        <f t="shared" si="8"/>
        <v/>
      </c>
      <c r="AM16" t="str">
        <f t="shared" si="8"/>
        <v/>
      </c>
      <c r="AN16" t="str">
        <f t="shared" si="1"/>
        <v/>
      </c>
      <c r="AO16" t="str">
        <f t="shared" si="1"/>
        <v/>
      </c>
      <c r="AP16" t="str">
        <f t="shared" si="1"/>
        <v/>
      </c>
    </row>
    <row r="17" spans="3:42" x14ac:dyDescent="0.25">
      <c r="S17">
        <v>1</v>
      </c>
      <c r="T17">
        <v>4</v>
      </c>
      <c r="U17">
        <f t="shared" si="2"/>
        <v>1</v>
      </c>
      <c r="V17">
        <f t="shared" si="3"/>
        <v>2</v>
      </c>
      <c r="W17">
        <f t="shared" si="4"/>
        <v>3</v>
      </c>
      <c r="X17">
        <f t="shared" si="7"/>
        <v>3</v>
      </c>
      <c r="Z17">
        <f t="shared" si="5"/>
        <v>3</v>
      </c>
      <c r="AB17" t="str">
        <f t="shared" si="8"/>
        <v/>
      </c>
      <c r="AC17" t="str">
        <f t="shared" si="8"/>
        <v/>
      </c>
      <c r="AD17" t="str">
        <f t="shared" si="8"/>
        <v/>
      </c>
      <c r="AE17" t="str">
        <f t="shared" si="8"/>
        <v>14</v>
      </c>
      <c r="AF17" t="str">
        <f t="shared" si="8"/>
        <v/>
      </c>
      <c r="AG17" t="str">
        <f t="shared" si="8"/>
        <v/>
      </c>
      <c r="AH17" t="str">
        <f t="shared" si="8"/>
        <v/>
      </c>
      <c r="AI17" t="str">
        <f t="shared" si="8"/>
        <v/>
      </c>
      <c r="AJ17" t="str">
        <f t="shared" si="8"/>
        <v/>
      </c>
      <c r="AK17" t="str">
        <f t="shared" si="8"/>
        <v/>
      </c>
      <c r="AL17" t="str">
        <f t="shared" si="8"/>
        <v/>
      </c>
      <c r="AM17" t="str">
        <f t="shared" si="8"/>
        <v/>
      </c>
      <c r="AN17" t="str">
        <f t="shared" si="1"/>
        <v/>
      </c>
      <c r="AO17" t="str">
        <f t="shared" si="1"/>
        <v/>
      </c>
      <c r="AP17" t="str">
        <f t="shared" si="1"/>
        <v/>
      </c>
    </row>
    <row r="18" spans="3:42" x14ac:dyDescent="0.25">
      <c r="S18">
        <v>1</v>
      </c>
      <c r="T18">
        <v>5</v>
      </c>
      <c r="U18">
        <f t="shared" si="2"/>
        <v>1</v>
      </c>
      <c r="V18">
        <f t="shared" si="3"/>
        <v>5</v>
      </c>
      <c r="W18">
        <f t="shared" si="4"/>
        <v>6</v>
      </c>
      <c r="X18">
        <f t="shared" si="7"/>
        <v>6</v>
      </c>
      <c r="Z18">
        <f t="shared" si="5"/>
        <v>6</v>
      </c>
      <c r="AB18" t="str">
        <f t="shared" si="8"/>
        <v/>
      </c>
      <c r="AC18" t="str">
        <f t="shared" si="8"/>
        <v/>
      </c>
      <c r="AD18" t="str">
        <f t="shared" si="8"/>
        <v/>
      </c>
      <c r="AE18" t="str">
        <f t="shared" si="8"/>
        <v/>
      </c>
      <c r="AF18" t="str">
        <f t="shared" si="8"/>
        <v/>
      </c>
      <c r="AG18" t="str">
        <f t="shared" si="8"/>
        <v/>
      </c>
      <c r="AH18" t="str">
        <f t="shared" si="8"/>
        <v>15</v>
      </c>
      <c r="AI18" t="str">
        <f t="shared" si="8"/>
        <v/>
      </c>
      <c r="AJ18" t="str">
        <f t="shared" si="8"/>
        <v/>
      </c>
      <c r="AK18" t="str">
        <f t="shared" si="8"/>
        <v/>
      </c>
      <c r="AL18" t="str">
        <f t="shared" si="8"/>
        <v/>
      </c>
      <c r="AM18" t="str">
        <f t="shared" si="8"/>
        <v/>
      </c>
      <c r="AN18" t="str">
        <f t="shared" si="1"/>
        <v/>
      </c>
      <c r="AO18" t="str">
        <f t="shared" si="1"/>
        <v/>
      </c>
      <c r="AP18" t="str">
        <f t="shared" si="1"/>
        <v/>
      </c>
    </row>
    <row r="19" spans="3:42" x14ac:dyDescent="0.25">
      <c r="S19">
        <v>1</v>
      </c>
      <c r="T19">
        <v>6</v>
      </c>
      <c r="U19">
        <f t="shared" si="2"/>
        <v>1</v>
      </c>
      <c r="V19">
        <f t="shared" si="3"/>
        <v>5</v>
      </c>
      <c r="W19">
        <f t="shared" si="4"/>
        <v>6</v>
      </c>
      <c r="X19">
        <f t="shared" si="7"/>
        <v>6</v>
      </c>
      <c r="Z19">
        <f t="shared" si="5"/>
        <v>6</v>
      </c>
      <c r="AB19" t="str">
        <f t="shared" si="8"/>
        <v/>
      </c>
      <c r="AC19" t="str">
        <f t="shared" si="8"/>
        <v/>
      </c>
      <c r="AD19" t="str">
        <f t="shared" si="8"/>
        <v/>
      </c>
      <c r="AE19" t="str">
        <f t="shared" si="8"/>
        <v/>
      </c>
      <c r="AF19" t="str">
        <f t="shared" si="8"/>
        <v/>
      </c>
      <c r="AG19" t="str">
        <f t="shared" si="8"/>
        <v/>
      </c>
      <c r="AH19" t="str">
        <f t="shared" si="8"/>
        <v>16</v>
      </c>
      <c r="AI19" t="str">
        <f t="shared" si="8"/>
        <v/>
      </c>
      <c r="AJ19" t="str">
        <f t="shared" si="8"/>
        <v/>
      </c>
      <c r="AK19" t="str">
        <f t="shared" si="8"/>
        <v/>
      </c>
      <c r="AL19" t="str">
        <f t="shared" si="8"/>
        <v/>
      </c>
      <c r="AM19" t="str">
        <f t="shared" si="8"/>
        <v/>
      </c>
      <c r="AN19" t="str">
        <f t="shared" si="1"/>
        <v/>
      </c>
      <c r="AO19" t="str">
        <f t="shared" si="1"/>
        <v/>
      </c>
      <c r="AP19" t="str">
        <f t="shared" si="1"/>
        <v/>
      </c>
    </row>
    <row r="20" spans="3:42" x14ac:dyDescent="0.25">
      <c r="C20" t="s">
        <v>8</v>
      </c>
      <c r="F20" t="s">
        <v>13</v>
      </c>
      <c r="J20" t="s">
        <v>90</v>
      </c>
      <c r="S20">
        <v>2</v>
      </c>
      <c r="T20">
        <v>0</v>
      </c>
      <c r="U20">
        <f t="shared" si="2"/>
        <v>3</v>
      </c>
      <c r="V20">
        <f t="shared" si="3"/>
        <v>4</v>
      </c>
      <c r="W20">
        <f t="shared" si="4"/>
        <v>7</v>
      </c>
      <c r="X20">
        <f t="shared" si="7"/>
        <v>7</v>
      </c>
      <c r="Z20">
        <f t="shared" si="5"/>
        <v>7</v>
      </c>
      <c r="AB20" t="str">
        <f t="shared" si="8"/>
        <v/>
      </c>
      <c r="AC20" t="str">
        <f t="shared" si="8"/>
        <v/>
      </c>
      <c r="AD20" t="str">
        <f t="shared" si="8"/>
        <v/>
      </c>
      <c r="AE20" t="str">
        <f t="shared" si="8"/>
        <v/>
      </c>
      <c r="AF20" t="str">
        <f t="shared" si="8"/>
        <v/>
      </c>
      <c r="AG20" t="str">
        <f t="shared" si="8"/>
        <v/>
      </c>
      <c r="AH20" t="str">
        <f t="shared" si="8"/>
        <v/>
      </c>
      <c r="AI20" t="str">
        <f t="shared" si="8"/>
        <v>20</v>
      </c>
      <c r="AJ20" t="str">
        <f t="shared" si="8"/>
        <v/>
      </c>
      <c r="AK20" t="str">
        <f t="shared" si="8"/>
        <v/>
      </c>
      <c r="AL20" t="str">
        <f t="shared" si="8"/>
        <v/>
      </c>
      <c r="AM20" t="str">
        <f t="shared" si="8"/>
        <v/>
      </c>
      <c r="AN20" t="str">
        <f t="shared" si="1"/>
        <v/>
      </c>
      <c r="AO20" t="str">
        <f t="shared" si="1"/>
        <v/>
      </c>
      <c r="AP20" t="str">
        <f t="shared" si="1"/>
        <v/>
      </c>
    </row>
    <row r="21" spans="3:42" x14ac:dyDescent="0.25">
      <c r="C21" t="s">
        <v>9</v>
      </c>
      <c r="F21" t="s">
        <v>76</v>
      </c>
      <c r="J21" t="s">
        <v>37</v>
      </c>
      <c r="S21">
        <v>2</v>
      </c>
      <c r="T21">
        <v>1</v>
      </c>
      <c r="U21">
        <f t="shared" si="2"/>
        <v>3</v>
      </c>
      <c r="V21">
        <f t="shared" si="3"/>
        <v>1</v>
      </c>
      <c r="W21">
        <f t="shared" si="4"/>
        <v>4</v>
      </c>
      <c r="X21">
        <f t="shared" si="7"/>
        <v>4</v>
      </c>
      <c r="Z21">
        <f t="shared" si="5"/>
        <v>4</v>
      </c>
      <c r="AB21" t="str">
        <f t="shared" si="8"/>
        <v/>
      </c>
      <c r="AC21" t="str">
        <f t="shared" si="8"/>
        <v/>
      </c>
      <c r="AD21" t="str">
        <f t="shared" si="8"/>
        <v/>
      </c>
      <c r="AE21" t="str">
        <f t="shared" si="8"/>
        <v/>
      </c>
      <c r="AF21" t="str">
        <f t="shared" si="8"/>
        <v>21</v>
      </c>
      <c r="AG21" t="str">
        <f t="shared" si="8"/>
        <v/>
      </c>
      <c r="AH21" t="str">
        <f t="shared" si="8"/>
        <v/>
      </c>
      <c r="AI21" t="str">
        <f t="shared" si="8"/>
        <v/>
      </c>
      <c r="AJ21" t="str">
        <f t="shared" si="8"/>
        <v/>
      </c>
      <c r="AK21" t="str">
        <f t="shared" si="8"/>
        <v/>
      </c>
      <c r="AL21" t="str">
        <f t="shared" si="8"/>
        <v/>
      </c>
      <c r="AM21" t="str">
        <f t="shared" si="8"/>
        <v/>
      </c>
      <c r="AN21" t="str">
        <f t="shared" si="1"/>
        <v/>
      </c>
      <c r="AO21" t="str">
        <f t="shared" si="1"/>
        <v/>
      </c>
      <c r="AP21" t="str">
        <f t="shared" si="1"/>
        <v/>
      </c>
    </row>
    <row r="22" spans="3:42" x14ac:dyDescent="0.25">
      <c r="C22" t="s">
        <v>10</v>
      </c>
      <c r="F22" t="s">
        <v>77</v>
      </c>
      <c r="J22" t="s">
        <v>38</v>
      </c>
      <c r="S22">
        <v>2</v>
      </c>
      <c r="T22">
        <v>2</v>
      </c>
      <c r="U22">
        <f t="shared" si="2"/>
        <v>3</v>
      </c>
      <c r="V22">
        <f t="shared" si="3"/>
        <v>3</v>
      </c>
      <c r="W22">
        <f t="shared" si="4"/>
        <v>6</v>
      </c>
      <c r="X22">
        <f>W22-2</f>
        <v>4</v>
      </c>
      <c r="Z22">
        <f t="shared" si="5"/>
        <v>4</v>
      </c>
      <c r="AB22" t="str">
        <f t="shared" si="8"/>
        <v/>
      </c>
      <c r="AC22" t="str">
        <f t="shared" si="8"/>
        <v/>
      </c>
      <c r="AD22" t="str">
        <f t="shared" si="8"/>
        <v/>
      </c>
      <c r="AE22" t="str">
        <f t="shared" si="8"/>
        <v/>
      </c>
      <c r="AF22" t="str">
        <f t="shared" si="8"/>
        <v>22</v>
      </c>
      <c r="AG22" t="str">
        <f t="shared" si="8"/>
        <v/>
      </c>
      <c r="AH22" t="str">
        <f t="shared" si="8"/>
        <v/>
      </c>
      <c r="AI22" t="str">
        <f t="shared" si="8"/>
        <v/>
      </c>
      <c r="AJ22" t="str">
        <f t="shared" si="8"/>
        <v/>
      </c>
      <c r="AK22" t="str">
        <f t="shared" si="8"/>
        <v/>
      </c>
      <c r="AL22" t="str">
        <f t="shared" si="8"/>
        <v/>
      </c>
      <c r="AM22" t="str">
        <f t="shared" si="8"/>
        <v/>
      </c>
      <c r="AN22" t="str">
        <f t="shared" ref="AN22:AP22" si="9">IF($Z22=AN$5,_xlfn.CONCAT($S22,$T22), "")</f>
        <v/>
      </c>
      <c r="AO22" t="str">
        <f t="shared" si="9"/>
        <v/>
      </c>
      <c r="AP22" t="str">
        <f t="shared" si="9"/>
        <v/>
      </c>
    </row>
    <row r="23" spans="3:42" x14ac:dyDescent="0.25">
      <c r="C23" t="s">
        <v>14</v>
      </c>
      <c r="S23">
        <v>2</v>
      </c>
      <c r="T23">
        <v>3</v>
      </c>
      <c r="U23">
        <f t="shared" si="2"/>
        <v>3</v>
      </c>
      <c r="V23">
        <f t="shared" si="3"/>
        <v>2</v>
      </c>
      <c r="W23">
        <f t="shared" si="4"/>
        <v>5</v>
      </c>
      <c r="X23">
        <f>W23</f>
        <v>5</v>
      </c>
      <c r="Z23">
        <f t="shared" si="5"/>
        <v>5</v>
      </c>
      <c r="AB23" t="str">
        <f t="shared" si="8"/>
        <v/>
      </c>
      <c r="AC23" t="str">
        <f t="shared" si="8"/>
        <v/>
      </c>
      <c r="AD23" t="str">
        <f t="shared" si="8"/>
        <v/>
      </c>
      <c r="AE23" t="str">
        <f t="shared" si="8"/>
        <v/>
      </c>
      <c r="AF23" t="str">
        <f t="shared" si="8"/>
        <v/>
      </c>
      <c r="AG23" t="str">
        <f t="shared" si="8"/>
        <v>23</v>
      </c>
      <c r="AH23" t="str">
        <f t="shared" si="8"/>
        <v/>
      </c>
      <c r="AI23" t="str">
        <f t="shared" si="8"/>
        <v/>
      </c>
      <c r="AJ23" t="str">
        <f t="shared" si="8"/>
        <v/>
      </c>
      <c r="AK23" t="str">
        <f t="shared" si="8"/>
        <v/>
      </c>
      <c r="AL23" t="str">
        <f t="shared" si="8"/>
        <v/>
      </c>
      <c r="AM23" t="str">
        <f t="shared" si="8"/>
        <v/>
      </c>
      <c r="AN23" t="str">
        <f t="shared" ref="AN23:AP38" si="10">IF($Z23=AN$5,_xlfn.CONCAT($S23,$T23), "")</f>
        <v/>
      </c>
      <c r="AO23" t="str">
        <f t="shared" si="10"/>
        <v/>
      </c>
      <c r="AP23" t="str">
        <f t="shared" si="10"/>
        <v/>
      </c>
    </row>
    <row r="24" spans="3:42" x14ac:dyDescent="0.25">
      <c r="S24">
        <v>2</v>
      </c>
      <c r="T24">
        <v>4</v>
      </c>
      <c r="U24">
        <f t="shared" si="2"/>
        <v>3</v>
      </c>
      <c r="V24">
        <f t="shared" si="3"/>
        <v>2</v>
      </c>
      <c r="W24">
        <f t="shared" si="4"/>
        <v>5</v>
      </c>
      <c r="X24">
        <f t="shared" ref="X24:X29" si="11">W24</f>
        <v>5</v>
      </c>
      <c r="Z24">
        <f t="shared" si="5"/>
        <v>5</v>
      </c>
      <c r="AB24" t="str">
        <f t="shared" si="8"/>
        <v/>
      </c>
      <c r="AC24" t="str">
        <f t="shared" si="8"/>
        <v/>
      </c>
      <c r="AD24" t="str">
        <f t="shared" si="8"/>
        <v/>
      </c>
      <c r="AE24" t="str">
        <f t="shared" si="8"/>
        <v/>
      </c>
      <c r="AF24" t="str">
        <f t="shared" si="8"/>
        <v/>
      </c>
      <c r="AG24" t="str">
        <f t="shared" si="8"/>
        <v>24</v>
      </c>
      <c r="AH24" t="str">
        <f t="shared" si="8"/>
        <v/>
      </c>
      <c r="AI24" t="str">
        <f t="shared" si="8"/>
        <v/>
      </c>
      <c r="AJ24" t="str">
        <f t="shared" si="8"/>
        <v/>
      </c>
      <c r="AK24" t="str">
        <f t="shared" si="8"/>
        <v/>
      </c>
      <c r="AL24" t="str">
        <f t="shared" si="8"/>
        <v/>
      </c>
      <c r="AM24" t="str">
        <f t="shared" si="8"/>
        <v/>
      </c>
      <c r="AN24" t="str">
        <f t="shared" si="10"/>
        <v/>
      </c>
      <c r="AO24" t="str">
        <f t="shared" si="10"/>
        <v/>
      </c>
      <c r="AP24" t="str">
        <f t="shared" si="10"/>
        <v/>
      </c>
    </row>
    <row r="25" spans="3:42" x14ac:dyDescent="0.25">
      <c r="C25" s="4" t="s">
        <v>11</v>
      </c>
      <c r="D25" t="s">
        <v>12</v>
      </c>
      <c r="E25" s="4"/>
      <c r="F25" s="4" t="s">
        <v>11</v>
      </c>
      <c r="G25" s="4" t="s">
        <v>12</v>
      </c>
      <c r="H25" s="4"/>
      <c r="I25" s="4"/>
      <c r="J25" s="4" t="s">
        <v>11</v>
      </c>
      <c r="K25" s="4" t="s">
        <v>12</v>
      </c>
      <c r="S25">
        <v>2</v>
      </c>
      <c r="T25">
        <v>5</v>
      </c>
      <c r="U25">
        <f t="shared" si="2"/>
        <v>3</v>
      </c>
      <c r="V25">
        <f t="shared" si="3"/>
        <v>5</v>
      </c>
      <c r="W25">
        <f t="shared" si="4"/>
        <v>8</v>
      </c>
      <c r="X25">
        <f t="shared" si="11"/>
        <v>8</v>
      </c>
      <c r="Z25">
        <f t="shared" si="5"/>
        <v>8</v>
      </c>
      <c r="AB25" t="str">
        <f t="shared" si="8"/>
        <v/>
      </c>
      <c r="AC25" t="str">
        <f t="shared" si="8"/>
        <v/>
      </c>
      <c r="AD25" t="str">
        <f t="shared" si="8"/>
        <v/>
      </c>
      <c r="AE25" t="str">
        <f t="shared" si="8"/>
        <v/>
      </c>
      <c r="AF25" t="str">
        <f t="shared" si="8"/>
        <v/>
      </c>
      <c r="AG25" t="str">
        <f t="shared" si="8"/>
        <v/>
      </c>
      <c r="AH25" t="str">
        <f t="shared" si="8"/>
        <v/>
      </c>
      <c r="AI25" t="str">
        <f t="shared" si="8"/>
        <v/>
      </c>
      <c r="AJ25" t="str">
        <f t="shared" si="8"/>
        <v>25</v>
      </c>
      <c r="AK25" t="str">
        <f t="shared" si="8"/>
        <v/>
      </c>
      <c r="AL25" t="str">
        <f t="shared" si="8"/>
        <v/>
      </c>
      <c r="AM25" t="str">
        <f t="shared" si="8"/>
        <v/>
      </c>
      <c r="AN25" t="str">
        <f t="shared" si="10"/>
        <v/>
      </c>
      <c r="AO25" t="str">
        <f t="shared" si="10"/>
        <v/>
      </c>
      <c r="AP25" t="str">
        <f t="shared" si="10"/>
        <v/>
      </c>
    </row>
    <row r="26" spans="3:42" x14ac:dyDescent="0.25">
      <c r="C26" t="s">
        <v>15</v>
      </c>
      <c r="D26" s="5">
        <v>11</v>
      </c>
      <c r="F26" t="s">
        <v>54</v>
      </c>
      <c r="J26" t="s">
        <v>4</v>
      </c>
      <c r="K26">
        <v>1</v>
      </c>
      <c r="S26">
        <v>2</v>
      </c>
      <c r="T26">
        <v>6</v>
      </c>
      <c r="U26">
        <f t="shared" si="2"/>
        <v>3</v>
      </c>
      <c r="V26">
        <f t="shared" si="3"/>
        <v>5</v>
      </c>
      <c r="W26">
        <f t="shared" si="4"/>
        <v>8</v>
      </c>
      <c r="X26">
        <f t="shared" si="11"/>
        <v>8</v>
      </c>
      <c r="Z26">
        <f t="shared" si="5"/>
        <v>8</v>
      </c>
      <c r="AB26" t="str">
        <f t="shared" ref="AB26:AM35" si="12">IF($Z26=AB$5,_xlfn.CONCAT($S26,$T26), "")</f>
        <v/>
      </c>
      <c r="AC26" t="str">
        <f t="shared" si="12"/>
        <v/>
      </c>
      <c r="AD26" t="str">
        <f t="shared" si="12"/>
        <v/>
      </c>
      <c r="AE26" t="str">
        <f t="shared" si="12"/>
        <v/>
      </c>
      <c r="AF26" t="str">
        <f t="shared" si="12"/>
        <v/>
      </c>
      <c r="AG26" t="str">
        <f t="shared" si="12"/>
        <v/>
      </c>
      <c r="AH26" t="str">
        <f t="shared" si="12"/>
        <v/>
      </c>
      <c r="AI26" t="str">
        <f t="shared" si="12"/>
        <v/>
      </c>
      <c r="AJ26" t="str">
        <f t="shared" si="12"/>
        <v>26</v>
      </c>
      <c r="AK26" t="str">
        <f t="shared" si="12"/>
        <v/>
      </c>
      <c r="AL26" t="str">
        <f t="shared" si="12"/>
        <v/>
      </c>
      <c r="AM26" t="str">
        <f t="shared" si="12"/>
        <v/>
      </c>
      <c r="AN26" t="str">
        <f t="shared" si="10"/>
        <v/>
      </c>
      <c r="AO26" t="str">
        <f t="shared" si="10"/>
        <v/>
      </c>
      <c r="AP26" t="str">
        <f t="shared" si="10"/>
        <v/>
      </c>
    </row>
    <row r="27" spans="3:42" x14ac:dyDescent="0.25">
      <c r="C27" t="s">
        <v>6</v>
      </c>
      <c r="D27" s="1">
        <v>33</v>
      </c>
      <c r="F27" t="s">
        <v>51</v>
      </c>
      <c r="G27" t="s">
        <v>113</v>
      </c>
      <c r="J27" t="s">
        <v>18</v>
      </c>
      <c r="K27">
        <v>3</v>
      </c>
      <c r="S27">
        <v>3</v>
      </c>
      <c r="T27">
        <v>0</v>
      </c>
      <c r="U27">
        <f t="shared" si="2"/>
        <v>2</v>
      </c>
      <c r="V27">
        <f t="shared" si="3"/>
        <v>4</v>
      </c>
      <c r="W27">
        <f t="shared" si="4"/>
        <v>6</v>
      </c>
      <c r="X27">
        <f t="shared" si="11"/>
        <v>6</v>
      </c>
      <c r="Z27">
        <f t="shared" si="5"/>
        <v>6</v>
      </c>
      <c r="AB27" t="str">
        <f t="shared" si="12"/>
        <v/>
      </c>
      <c r="AC27" t="str">
        <f t="shared" si="12"/>
        <v/>
      </c>
      <c r="AD27" t="str">
        <f t="shared" si="12"/>
        <v/>
      </c>
      <c r="AE27" t="str">
        <f t="shared" si="12"/>
        <v/>
      </c>
      <c r="AF27" t="str">
        <f t="shared" si="12"/>
        <v/>
      </c>
      <c r="AG27" t="str">
        <f t="shared" si="12"/>
        <v/>
      </c>
      <c r="AH27" t="str">
        <f t="shared" si="12"/>
        <v>30</v>
      </c>
      <c r="AI27" t="str">
        <f t="shared" si="12"/>
        <v/>
      </c>
      <c r="AJ27" t="str">
        <f t="shared" si="12"/>
        <v/>
      </c>
      <c r="AK27" t="str">
        <f t="shared" si="12"/>
        <v/>
      </c>
      <c r="AL27" t="str">
        <f t="shared" si="12"/>
        <v/>
      </c>
      <c r="AM27" t="str">
        <f t="shared" si="12"/>
        <v/>
      </c>
      <c r="AN27" t="str">
        <f t="shared" si="10"/>
        <v/>
      </c>
      <c r="AO27" t="str">
        <f t="shared" si="10"/>
        <v/>
      </c>
      <c r="AP27" t="str">
        <f t="shared" si="10"/>
        <v/>
      </c>
    </row>
    <row r="28" spans="3:42" x14ac:dyDescent="0.25">
      <c r="C28" t="s">
        <v>18</v>
      </c>
      <c r="D28" s="1">
        <v>13</v>
      </c>
      <c r="F28" t="s">
        <v>52</v>
      </c>
      <c r="G28" t="s">
        <v>53</v>
      </c>
      <c r="J28" t="s">
        <v>21</v>
      </c>
      <c r="K28">
        <v>4</v>
      </c>
      <c r="S28">
        <v>3</v>
      </c>
      <c r="T28">
        <v>1</v>
      </c>
      <c r="U28">
        <f t="shared" si="2"/>
        <v>2</v>
      </c>
      <c r="V28">
        <f t="shared" si="3"/>
        <v>1</v>
      </c>
      <c r="W28">
        <f t="shared" si="4"/>
        <v>3</v>
      </c>
      <c r="X28">
        <f t="shared" si="11"/>
        <v>3</v>
      </c>
      <c r="Z28">
        <f t="shared" si="5"/>
        <v>3</v>
      </c>
      <c r="AB28" t="str">
        <f t="shared" si="12"/>
        <v/>
      </c>
      <c r="AC28" t="str">
        <f t="shared" si="12"/>
        <v/>
      </c>
      <c r="AD28" t="str">
        <f t="shared" si="12"/>
        <v/>
      </c>
      <c r="AE28" t="str">
        <f t="shared" si="12"/>
        <v>31</v>
      </c>
      <c r="AF28" t="str">
        <f t="shared" si="12"/>
        <v/>
      </c>
      <c r="AG28" t="str">
        <f t="shared" si="12"/>
        <v/>
      </c>
      <c r="AH28" t="str">
        <f t="shared" si="12"/>
        <v/>
      </c>
      <c r="AI28" t="str">
        <f t="shared" si="12"/>
        <v/>
      </c>
      <c r="AJ28" t="str">
        <f t="shared" si="12"/>
        <v/>
      </c>
      <c r="AK28" t="str">
        <f t="shared" si="12"/>
        <v/>
      </c>
      <c r="AL28" t="str">
        <f t="shared" si="12"/>
        <v/>
      </c>
      <c r="AM28" t="str">
        <f t="shared" si="12"/>
        <v/>
      </c>
      <c r="AN28" t="str">
        <f t="shared" si="10"/>
        <v/>
      </c>
      <c r="AO28" t="str">
        <f t="shared" si="10"/>
        <v/>
      </c>
      <c r="AP28" t="str">
        <f t="shared" si="10"/>
        <v/>
      </c>
    </row>
    <row r="29" spans="3:42" x14ac:dyDescent="0.25">
      <c r="C29" t="s">
        <v>16</v>
      </c>
      <c r="D29" s="1">
        <v>14</v>
      </c>
      <c r="F29" t="s">
        <v>114</v>
      </c>
      <c r="G29" t="s">
        <v>115</v>
      </c>
      <c r="J29" t="s">
        <v>35</v>
      </c>
      <c r="K29">
        <v>2</v>
      </c>
      <c r="S29">
        <v>3</v>
      </c>
      <c r="T29">
        <v>2</v>
      </c>
      <c r="U29">
        <f t="shared" si="2"/>
        <v>2</v>
      </c>
      <c r="V29">
        <f t="shared" si="3"/>
        <v>3</v>
      </c>
      <c r="W29">
        <f t="shared" si="4"/>
        <v>5</v>
      </c>
      <c r="X29">
        <f t="shared" si="11"/>
        <v>5</v>
      </c>
      <c r="Z29">
        <f t="shared" si="5"/>
        <v>5</v>
      </c>
      <c r="AB29" t="str">
        <f t="shared" si="12"/>
        <v/>
      </c>
      <c r="AC29" t="str">
        <f t="shared" si="12"/>
        <v/>
      </c>
      <c r="AD29" t="str">
        <f t="shared" si="12"/>
        <v/>
      </c>
      <c r="AE29" t="str">
        <f t="shared" si="12"/>
        <v/>
      </c>
      <c r="AF29" t="str">
        <f t="shared" si="12"/>
        <v/>
      </c>
      <c r="AG29" t="str">
        <f t="shared" si="12"/>
        <v>32</v>
      </c>
      <c r="AH29" t="str">
        <f t="shared" si="12"/>
        <v/>
      </c>
      <c r="AI29" t="str">
        <f t="shared" si="12"/>
        <v/>
      </c>
      <c r="AJ29" t="str">
        <f t="shared" si="12"/>
        <v/>
      </c>
      <c r="AK29" t="str">
        <f t="shared" si="12"/>
        <v/>
      </c>
      <c r="AL29" t="str">
        <f t="shared" si="12"/>
        <v/>
      </c>
      <c r="AM29" t="str">
        <f t="shared" si="12"/>
        <v/>
      </c>
      <c r="AN29" t="str">
        <f t="shared" si="10"/>
        <v/>
      </c>
      <c r="AO29" t="str">
        <f t="shared" si="10"/>
        <v/>
      </c>
      <c r="AP29" t="str">
        <f t="shared" si="10"/>
        <v/>
      </c>
    </row>
    <row r="30" spans="3:42" x14ac:dyDescent="0.25">
      <c r="C30" t="s">
        <v>17</v>
      </c>
      <c r="D30" s="1">
        <v>12</v>
      </c>
      <c r="F30" t="s">
        <v>55</v>
      </c>
      <c r="J30" t="s">
        <v>93</v>
      </c>
      <c r="K30">
        <v>5</v>
      </c>
      <c r="S30">
        <v>3</v>
      </c>
      <c r="T30">
        <v>3</v>
      </c>
      <c r="U30">
        <f t="shared" si="2"/>
        <v>2</v>
      </c>
      <c r="V30">
        <f t="shared" si="3"/>
        <v>2</v>
      </c>
      <c r="W30">
        <f t="shared" si="4"/>
        <v>4</v>
      </c>
      <c r="X30">
        <f>W30-2</f>
        <v>2</v>
      </c>
      <c r="Z30">
        <f t="shared" si="5"/>
        <v>2</v>
      </c>
      <c r="AB30" t="str">
        <f t="shared" si="12"/>
        <v/>
      </c>
      <c r="AC30" t="str">
        <f t="shared" si="12"/>
        <v/>
      </c>
      <c r="AD30" t="str">
        <f t="shared" si="12"/>
        <v>33</v>
      </c>
      <c r="AE30" t="str">
        <f t="shared" si="12"/>
        <v/>
      </c>
      <c r="AF30" t="str">
        <f t="shared" si="12"/>
        <v/>
      </c>
      <c r="AG30" t="str">
        <f t="shared" si="12"/>
        <v/>
      </c>
      <c r="AH30" t="str">
        <f t="shared" si="12"/>
        <v/>
      </c>
      <c r="AI30" t="str">
        <f t="shared" si="12"/>
        <v/>
      </c>
      <c r="AJ30" t="str">
        <f t="shared" si="12"/>
        <v/>
      </c>
      <c r="AK30" t="str">
        <f t="shared" si="12"/>
        <v/>
      </c>
      <c r="AL30" t="str">
        <f t="shared" si="12"/>
        <v/>
      </c>
      <c r="AM30" t="str">
        <f t="shared" si="12"/>
        <v/>
      </c>
      <c r="AN30" t="str">
        <f t="shared" si="10"/>
        <v/>
      </c>
      <c r="AO30" t="str">
        <f t="shared" si="10"/>
        <v/>
      </c>
      <c r="AP30" t="str">
        <f t="shared" si="10"/>
        <v/>
      </c>
    </row>
    <row r="31" spans="3:42" x14ac:dyDescent="0.25">
      <c r="C31" t="s">
        <v>3</v>
      </c>
      <c r="D31" s="1">
        <v>44</v>
      </c>
      <c r="F31" t="s">
        <v>56</v>
      </c>
      <c r="G31">
        <v>0</v>
      </c>
      <c r="J31" t="s">
        <v>94</v>
      </c>
      <c r="K31">
        <v>6</v>
      </c>
      <c r="S31">
        <v>3</v>
      </c>
      <c r="T31">
        <v>4</v>
      </c>
      <c r="U31">
        <f t="shared" si="2"/>
        <v>2</v>
      </c>
      <c r="V31">
        <f t="shared" si="3"/>
        <v>2</v>
      </c>
      <c r="W31">
        <f t="shared" si="4"/>
        <v>4</v>
      </c>
      <c r="X31">
        <f>W31</f>
        <v>4</v>
      </c>
      <c r="Y31">
        <v>1</v>
      </c>
      <c r="Z31">
        <f t="shared" si="5"/>
        <v>5</v>
      </c>
      <c r="AB31" t="str">
        <f t="shared" si="12"/>
        <v/>
      </c>
      <c r="AC31" t="str">
        <f t="shared" si="12"/>
        <v/>
      </c>
      <c r="AD31" t="str">
        <f t="shared" si="12"/>
        <v/>
      </c>
      <c r="AE31" t="str">
        <f t="shared" si="12"/>
        <v/>
      </c>
      <c r="AF31" t="str">
        <f t="shared" si="12"/>
        <v/>
      </c>
      <c r="AG31" t="str">
        <f t="shared" si="12"/>
        <v>34</v>
      </c>
      <c r="AH31" t="str">
        <f t="shared" si="12"/>
        <v/>
      </c>
      <c r="AI31" t="str">
        <f t="shared" si="12"/>
        <v/>
      </c>
      <c r="AJ31" t="str">
        <f t="shared" si="12"/>
        <v/>
      </c>
      <c r="AK31" t="str">
        <f t="shared" si="12"/>
        <v/>
      </c>
      <c r="AL31" t="str">
        <f t="shared" si="12"/>
        <v/>
      </c>
      <c r="AM31" t="str">
        <f t="shared" si="12"/>
        <v/>
      </c>
      <c r="AN31" t="str">
        <f t="shared" si="10"/>
        <v/>
      </c>
      <c r="AO31" t="str">
        <f t="shared" si="10"/>
        <v/>
      </c>
      <c r="AP31" t="str">
        <f t="shared" si="10"/>
        <v/>
      </c>
    </row>
    <row r="32" spans="3:42" x14ac:dyDescent="0.25">
      <c r="C32" t="s">
        <v>19</v>
      </c>
      <c r="D32" s="1">
        <v>31</v>
      </c>
      <c r="F32" t="s">
        <v>57</v>
      </c>
      <c r="G32">
        <v>1</v>
      </c>
      <c r="J32" t="s">
        <v>74</v>
      </c>
      <c r="K32" t="s">
        <v>108</v>
      </c>
      <c r="S32">
        <v>3</v>
      </c>
      <c r="T32">
        <v>5</v>
      </c>
      <c r="U32">
        <f t="shared" si="2"/>
        <v>2</v>
      </c>
      <c r="V32">
        <f t="shared" si="3"/>
        <v>5</v>
      </c>
      <c r="W32">
        <f t="shared" si="4"/>
        <v>7</v>
      </c>
      <c r="X32">
        <f t="shared" ref="X32:X37" si="13">W32</f>
        <v>7</v>
      </c>
      <c r="Z32">
        <f t="shared" si="5"/>
        <v>7</v>
      </c>
      <c r="AB32" t="str">
        <f t="shared" si="12"/>
        <v/>
      </c>
      <c r="AC32" t="str">
        <f t="shared" si="12"/>
        <v/>
      </c>
      <c r="AD32" t="str">
        <f t="shared" si="12"/>
        <v/>
      </c>
      <c r="AE32" t="str">
        <f t="shared" si="12"/>
        <v/>
      </c>
      <c r="AF32" t="str">
        <f t="shared" si="12"/>
        <v/>
      </c>
      <c r="AG32" t="str">
        <f t="shared" si="12"/>
        <v/>
      </c>
      <c r="AH32" t="str">
        <f t="shared" si="12"/>
        <v/>
      </c>
      <c r="AI32" t="str">
        <f t="shared" si="12"/>
        <v>35</v>
      </c>
      <c r="AJ32" t="str">
        <f t="shared" si="12"/>
        <v/>
      </c>
      <c r="AK32" t="str">
        <f t="shared" si="12"/>
        <v/>
      </c>
      <c r="AL32" t="str">
        <f t="shared" si="12"/>
        <v/>
      </c>
      <c r="AM32" t="str">
        <f t="shared" si="12"/>
        <v/>
      </c>
      <c r="AN32" t="str">
        <f t="shared" si="10"/>
        <v/>
      </c>
      <c r="AO32" t="str">
        <f t="shared" si="10"/>
        <v/>
      </c>
      <c r="AP32" t="str">
        <f t="shared" si="10"/>
        <v/>
      </c>
    </row>
    <row r="33" spans="3:42" x14ac:dyDescent="0.25">
      <c r="C33" t="s">
        <v>20</v>
      </c>
      <c r="D33" s="1">
        <v>41</v>
      </c>
      <c r="F33" t="s">
        <v>58</v>
      </c>
      <c r="G33">
        <v>2</v>
      </c>
      <c r="J33" t="s">
        <v>15</v>
      </c>
      <c r="K33" t="s">
        <v>107</v>
      </c>
      <c r="S33">
        <v>3</v>
      </c>
      <c r="T33">
        <v>6</v>
      </c>
      <c r="U33">
        <f t="shared" si="2"/>
        <v>2</v>
      </c>
      <c r="V33">
        <f t="shared" si="3"/>
        <v>5</v>
      </c>
      <c r="W33">
        <f t="shared" si="4"/>
        <v>7</v>
      </c>
      <c r="X33">
        <f t="shared" si="13"/>
        <v>7</v>
      </c>
      <c r="Y33">
        <v>2</v>
      </c>
      <c r="Z33">
        <f t="shared" si="5"/>
        <v>9</v>
      </c>
      <c r="AB33" t="str">
        <f t="shared" si="12"/>
        <v/>
      </c>
      <c r="AC33" t="str">
        <f t="shared" si="12"/>
        <v/>
      </c>
      <c r="AD33" t="str">
        <f t="shared" si="12"/>
        <v/>
      </c>
      <c r="AE33" t="str">
        <f t="shared" si="12"/>
        <v/>
      </c>
      <c r="AF33" t="str">
        <f t="shared" si="12"/>
        <v/>
      </c>
      <c r="AG33" t="str">
        <f t="shared" si="12"/>
        <v/>
      </c>
      <c r="AH33" t="str">
        <f t="shared" si="12"/>
        <v/>
      </c>
      <c r="AI33" t="str">
        <f t="shared" si="12"/>
        <v/>
      </c>
      <c r="AJ33" t="str">
        <f t="shared" si="12"/>
        <v/>
      </c>
      <c r="AK33" t="str">
        <f t="shared" si="12"/>
        <v>36</v>
      </c>
      <c r="AL33" t="str">
        <f t="shared" si="12"/>
        <v/>
      </c>
      <c r="AM33" t="str">
        <f t="shared" si="12"/>
        <v/>
      </c>
      <c r="AN33" t="str">
        <f t="shared" si="10"/>
        <v/>
      </c>
      <c r="AO33" t="str">
        <f t="shared" si="10"/>
        <v/>
      </c>
      <c r="AP33" t="str">
        <f t="shared" si="10"/>
        <v/>
      </c>
    </row>
    <row r="34" spans="3:42" x14ac:dyDescent="0.25">
      <c r="C34" t="s">
        <v>5</v>
      </c>
      <c r="D34" s="1">
        <v>21</v>
      </c>
      <c r="F34" t="s">
        <v>59</v>
      </c>
      <c r="G34">
        <v>3</v>
      </c>
      <c r="J34" t="s">
        <v>5</v>
      </c>
      <c r="K34" t="s">
        <v>109</v>
      </c>
      <c r="S34">
        <v>4</v>
      </c>
      <c r="T34">
        <v>0</v>
      </c>
      <c r="U34">
        <f t="shared" si="2"/>
        <v>2</v>
      </c>
      <c r="V34">
        <f t="shared" si="3"/>
        <v>4</v>
      </c>
      <c r="W34">
        <f t="shared" si="4"/>
        <v>6</v>
      </c>
      <c r="X34">
        <f t="shared" si="13"/>
        <v>6</v>
      </c>
      <c r="Z34">
        <f t="shared" si="5"/>
        <v>6</v>
      </c>
      <c r="AB34" t="str">
        <f t="shared" si="12"/>
        <v/>
      </c>
      <c r="AC34" t="str">
        <f t="shared" si="12"/>
        <v/>
      </c>
      <c r="AD34" t="str">
        <f t="shared" si="12"/>
        <v/>
      </c>
      <c r="AE34" t="str">
        <f t="shared" si="12"/>
        <v/>
      </c>
      <c r="AF34" t="str">
        <f t="shared" si="12"/>
        <v/>
      </c>
      <c r="AG34" t="str">
        <f t="shared" si="12"/>
        <v/>
      </c>
      <c r="AH34" t="str">
        <f t="shared" si="12"/>
        <v>40</v>
      </c>
      <c r="AI34" t="str">
        <f t="shared" si="12"/>
        <v/>
      </c>
      <c r="AJ34" t="str">
        <f t="shared" si="12"/>
        <v/>
      </c>
      <c r="AK34" t="str">
        <f t="shared" si="12"/>
        <v/>
      </c>
      <c r="AL34" t="str">
        <f t="shared" si="12"/>
        <v/>
      </c>
      <c r="AM34" t="str">
        <f t="shared" si="12"/>
        <v/>
      </c>
      <c r="AN34" t="str">
        <f t="shared" si="10"/>
        <v/>
      </c>
      <c r="AO34" t="str">
        <f t="shared" si="10"/>
        <v/>
      </c>
      <c r="AP34" t="str">
        <f t="shared" si="10"/>
        <v/>
      </c>
    </row>
    <row r="35" spans="3:42" x14ac:dyDescent="0.25">
      <c r="C35" t="s">
        <v>1</v>
      </c>
      <c r="D35" s="1">
        <v>23</v>
      </c>
      <c r="F35" t="s">
        <v>60</v>
      </c>
      <c r="G35">
        <v>4</v>
      </c>
      <c r="J35" t="s">
        <v>33</v>
      </c>
      <c r="K35" t="s">
        <v>110</v>
      </c>
      <c r="S35">
        <v>4</v>
      </c>
      <c r="T35">
        <v>1</v>
      </c>
      <c r="U35">
        <f t="shared" si="2"/>
        <v>2</v>
      </c>
      <c r="V35">
        <f t="shared" si="3"/>
        <v>1</v>
      </c>
      <c r="W35">
        <f t="shared" si="4"/>
        <v>3</v>
      </c>
      <c r="X35">
        <f t="shared" si="13"/>
        <v>3</v>
      </c>
      <c r="Z35">
        <f t="shared" si="5"/>
        <v>3</v>
      </c>
      <c r="AB35" t="str">
        <f t="shared" si="12"/>
        <v/>
      </c>
      <c r="AC35" t="str">
        <f t="shared" si="12"/>
        <v/>
      </c>
      <c r="AD35" t="str">
        <f t="shared" si="12"/>
        <v/>
      </c>
      <c r="AE35" t="str">
        <f t="shared" si="12"/>
        <v>41</v>
      </c>
      <c r="AF35" t="str">
        <f t="shared" si="12"/>
        <v/>
      </c>
      <c r="AG35" t="str">
        <f t="shared" si="12"/>
        <v/>
      </c>
      <c r="AH35" t="str">
        <f t="shared" si="12"/>
        <v/>
      </c>
      <c r="AI35" t="str">
        <f t="shared" si="12"/>
        <v/>
      </c>
      <c r="AJ35" t="str">
        <f t="shared" si="12"/>
        <v/>
      </c>
      <c r="AK35" t="str">
        <f t="shared" si="12"/>
        <v/>
      </c>
      <c r="AL35" t="str">
        <f t="shared" si="12"/>
        <v/>
      </c>
      <c r="AM35" t="str">
        <f t="shared" si="12"/>
        <v/>
      </c>
      <c r="AN35" t="str">
        <f t="shared" si="10"/>
        <v/>
      </c>
      <c r="AO35" t="str">
        <f t="shared" si="10"/>
        <v/>
      </c>
      <c r="AP35" t="str">
        <f t="shared" si="10"/>
        <v/>
      </c>
    </row>
    <row r="36" spans="3:42" x14ac:dyDescent="0.25">
      <c r="C36" t="s">
        <v>21</v>
      </c>
      <c r="D36" s="1">
        <v>24</v>
      </c>
      <c r="F36" t="s">
        <v>61</v>
      </c>
      <c r="G36">
        <v>5</v>
      </c>
      <c r="J36" t="s">
        <v>25</v>
      </c>
      <c r="K36" t="s">
        <v>111</v>
      </c>
      <c r="S36">
        <v>4</v>
      </c>
      <c r="T36">
        <v>2</v>
      </c>
      <c r="U36">
        <f t="shared" si="2"/>
        <v>2</v>
      </c>
      <c r="V36">
        <f t="shared" si="3"/>
        <v>3</v>
      </c>
      <c r="W36">
        <f t="shared" si="4"/>
        <v>5</v>
      </c>
      <c r="X36">
        <f t="shared" si="13"/>
        <v>5</v>
      </c>
      <c r="Z36">
        <f t="shared" si="5"/>
        <v>5</v>
      </c>
      <c r="AB36" t="str">
        <f t="shared" ref="AB36:AM45" si="14">IF($Z36=AB$5,_xlfn.CONCAT($S36,$T36), "")</f>
        <v/>
      </c>
      <c r="AC36" t="str">
        <f t="shared" si="14"/>
        <v/>
      </c>
      <c r="AD36" t="str">
        <f t="shared" si="14"/>
        <v/>
      </c>
      <c r="AE36" t="str">
        <f t="shared" si="14"/>
        <v/>
      </c>
      <c r="AF36" t="str">
        <f t="shared" si="14"/>
        <v/>
      </c>
      <c r="AG36" t="str">
        <f t="shared" si="14"/>
        <v>42</v>
      </c>
      <c r="AH36" t="str">
        <f t="shared" si="14"/>
        <v/>
      </c>
      <c r="AI36" t="str">
        <f t="shared" si="14"/>
        <v/>
      </c>
      <c r="AJ36" t="str">
        <f t="shared" si="14"/>
        <v/>
      </c>
      <c r="AK36" t="str">
        <f t="shared" si="14"/>
        <v/>
      </c>
      <c r="AL36" t="str">
        <f t="shared" si="14"/>
        <v/>
      </c>
      <c r="AM36" t="str">
        <f t="shared" si="14"/>
        <v/>
      </c>
      <c r="AN36" t="str">
        <f t="shared" si="10"/>
        <v/>
      </c>
      <c r="AO36" t="str">
        <f t="shared" si="10"/>
        <v/>
      </c>
      <c r="AP36" t="str">
        <f t="shared" si="10"/>
        <v/>
      </c>
    </row>
    <row r="37" spans="3:42" x14ac:dyDescent="0.25">
      <c r="C37" t="s">
        <v>22</v>
      </c>
      <c r="D37" s="1">
        <v>32</v>
      </c>
      <c r="F37" t="s">
        <v>62</v>
      </c>
      <c r="G37">
        <v>6</v>
      </c>
      <c r="J37" t="s">
        <v>19</v>
      </c>
      <c r="K37" t="s">
        <v>112</v>
      </c>
      <c r="S37">
        <v>4</v>
      </c>
      <c r="T37">
        <v>3</v>
      </c>
      <c r="U37">
        <f t="shared" si="2"/>
        <v>2</v>
      </c>
      <c r="V37">
        <f t="shared" si="3"/>
        <v>2</v>
      </c>
      <c r="W37">
        <f t="shared" si="4"/>
        <v>4</v>
      </c>
      <c r="X37">
        <f t="shared" si="13"/>
        <v>4</v>
      </c>
      <c r="Y37">
        <v>1</v>
      </c>
      <c r="Z37">
        <f t="shared" si="5"/>
        <v>5</v>
      </c>
      <c r="AB37" t="str">
        <f t="shared" si="14"/>
        <v/>
      </c>
      <c r="AC37" t="str">
        <f t="shared" si="14"/>
        <v/>
      </c>
      <c r="AD37" t="str">
        <f t="shared" si="14"/>
        <v/>
      </c>
      <c r="AE37" t="str">
        <f t="shared" si="14"/>
        <v/>
      </c>
      <c r="AF37" t="str">
        <f t="shared" si="14"/>
        <v/>
      </c>
      <c r="AG37" t="str">
        <f t="shared" si="14"/>
        <v>43</v>
      </c>
      <c r="AH37" t="str">
        <f t="shared" si="14"/>
        <v/>
      </c>
      <c r="AI37" t="str">
        <f t="shared" si="14"/>
        <v/>
      </c>
      <c r="AJ37" t="str">
        <f t="shared" si="14"/>
        <v/>
      </c>
      <c r="AK37" t="str">
        <f t="shared" si="14"/>
        <v/>
      </c>
      <c r="AL37" t="str">
        <f t="shared" si="14"/>
        <v/>
      </c>
      <c r="AM37" t="str">
        <f t="shared" si="14"/>
        <v/>
      </c>
      <c r="AN37" t="str">
        <f t="shared" si="10"/>
        <v/>
      </c>
      <c r="AO37" t="str">
        <f t="shared" si="10"/>
        <v/>
      </c>
      <c r="AP37" t="str">
        <f t="shared" si="10"/>
        <v/>
      </c>
    </row>
    <row r="38" spans="3:42" x14ac:dyDescent="0.25">
      <c r="C38" t="s">
        <v>23</v>
      </c>
      <c r="D38" s="1">
        <v>10</v>
      </c>
      <c r="F38" t="s">
        <v>63</v>
      </c>
      <c r="S38">
        <v>4</v>
      </c>
      <c r="T38">
        <v>4</v>
      </c>
      <c r="U38">
        <f t="shared" si="2"/>
        <v>2</v>
      </c>
      <c r="V38">
        <f t="shared" si="3"/>
        <v>2</v>
      </c>
      <c r="W38">
        <f t="shared" si="4"/>
        <v>4</v>
      </c>
      <c r="X38">
        <f>W38-2</f>
        <v>2</v>
      </c>
      <c r="Z38">
        <f t="shared" si="5"/>
        <v>2</v>
      </c>
      <c r="AB38" t="str">
        <f t="shared" si="14"/>
        <v/>
      </c>
      <c r="AC38" t="str">
        <f t="shared" si="14"/>
        <v/>
      </c>
      <c r="AD38" t="str">
        <f t="shared" si="14"/>
        <v>44</v>
      </c>
      <c r="AE38" t="str">
        <f t="shared" si="14"/>
        <v/>
      </c>
      <c r="AF38" t="str">
        <f t="shared" si="14"/>
        <v/>
      </c>
      <c r="AG38" t="str">
        <f t="shared" si="14"/>
        <v/>
      </c>
      <c r="AH38" t="str">
        <f t="shared" si="14"/>
        <v/>
      </c>
      <c r="AI38" t="str">
        <f t="shared" si="14"/>
        <v/>
      </c>
      <c r="AJ38" t="str">
        <f t="shared" si="14"/>
        <v/>
      </c>
      <c r="AK38" t="str">
        <f t="shared" si="14"/>
        <v/>
      </c>
      <c r="AL38" t="str">
        <f t="shared" si="14"/>
        <v/>
      </c>
      <c r="AM38" t="str">
        <f t="shared" si="14"/>
        <v/>
      </c>
      <c r="AN38" t="str">
        <f t="shared" si="10"/>
        <v/>
      </c>
      <c r="AO38" t="str">
        <f t="shared" si="10"/>
        <v/>
      </c>
      <c r="AP38" t="str">
        <f t="shared" ref="AP38:AP54" si="15">IF($Z38=AP$5,_xlfn.CONCAT($S38,$T38), "")</f>
        <v/>
      </c>
    </row>
    <row r="39" spans="3:42" x14ac:dyDescent="0.25">
      <c r="C39" t="s">
        <v>24</v>
      </c>
      <c r="D39" s="1">
        <v>34</v>
      </c>
      <c r="F39" t="s">
        <v>64</v>
      </c>
      <c r="G39">
        <v>0</v>
      </c>
      <c r="J39" t="s">
        <v>95</v>
      </c>
      <c r="K39" t="s">
        <v>127</v>
      </c>
      <c r="S39">
        <v>4</v>
      </c>
      <c r="T39">
        <v>5</v>
      </c>
      <c r="U39">
        <f t="shared" si="2"/>
        <v>2</v>
      </c>
      <c r="V39">
        <f t="shared" si="3"/>
        <v>5</v>
      </c>
      <c r="W39">
        <f t="shared" si="4"/>
        <v>7</v>
      </c>
      <c r="X39">
        <f>W39</f>
        <v>7</v>
      </c>
      <c r="Y39">
        <v>2</v>
      </c>
      <c r="Z39">
        <f t="shared" si="5"/>
        <v>9</v>
      </c>
      <c r="AB39" t="str">
        <f t="shared" si="14"/>
        <v/>
      </c>
      <c r="AC39" t="str">
        <f t="shared" si="14"/>
        <v/>
      </c>
      <c r="AD39" t="str">
        <f t="shared" si="14"/>
        <v/>
      </c>
      <c r="AE39" t="str">
        <f t="shared" si="14"/>
        <v/>
      </c>
      <c r="AF39" t="str">
        <f t="shared" si="14"/>
        <v/>
      </c>
      <c r="AG39" t="str">
        <f t="shared" si="14"/>
        <v/>
      </c>
      <c r="AH39" t="str">
        <f t="shared" si="14"/>
        <v/>
      </c>
      <c r="AI39" t="str">
        <f t="shared" si="14"/>
        <v/>
      </c>
      <c r="AJ39" t="str">
        <f t="shared" si="14"/>
        <v/>
      </c>
      <c r="AK39" t="str">
        <f t="shared" si="14"/>
        <v>45</v>
      </c>
      <c r="AL39" t="str">
        <f t="shared" si="14"/>
        <v/>
      </c>
      <c r="AM39" t="str">
        <f t="shared" si="14"/>
        <v/>
      </c>
      <c r="AN39" t="str">
        <f t="shared" ref="AN39:AO54" si="16">IF($Z39=AN$5,_xlfn.CONCAT($S39,$T39), "")</f>
        <v/>
      </c>
      <c r="AO39" t="str">
        <f t="shared" si="16"/>
        <v/>
      </c>
      <c r="AP39" t="str">
        <f t="shared" si="15"/>
        <v/>
      </c>
    </row>
    <row r="40" spans="3:42" x14ac:dyDescent="0.25">
      <c r="C40" t="s">
        <v>4</v>
      </c>
      <c r="D40" s="1">
        <v>42</v>
      </c>
      <c r="F40" t="s">
        <v>65</v>
      </c>
      <c r="G40">
        <v>1</v>
      </c>
      <c r="J40">
        <v>1</v>
      </c>
      <c r="S40">
        <v>4</v>
      </c>
      <c r="T40">
        <v>6</v>
      </c>
      <c r="U40">
        <f t="shared" si="2"/>
        <v>2</v>
      </c>
      <c r="V40">
        <f t="shared" si="3"/>
        <v>5</v>
      </c>
      <c r="W40">
        <f t="shared" si="4"/>
        <v>7</v>
      </c>
      <c r="X40">
        <f t="shared" ref="X40:X45" si="17">W40</f>
        <v>7</v>
      </c>
      <c r="Z40">
        <f t="shared" si="5"/>
        <v>7</v>
      </c>
      <c r="AB40" t="str">
        <f t="shared" si="14"/>
        <v/>
      </c>
      <c r="AC40" t="str">
        <f t="shared" si="14"/>
        <v/>
      </c>
      <c r="AD40" t="str">
        <f t="shared" si="14"/>
        <v/>
      </c>
      <c r="AE40" t="str">
        <f t="shared" si="14"/>
        <v/>
      </c>
      <c r="AF40" t="str">
        <f t="shared" si="14"/>
        <v/>
      </c>
      <c r="AG40" t="str">
        <f t="shared" si="14"/>
        <v/>
      </c>
      <c r="AH40" t="str">
        <f t="shared" si="14"/>
        <v/>
      </c>
      <c r="AI40" t="str">
        <f t="shared" si="14"/>
        <v>46</v>
      </c>
      <c r="AJ40" t="str">
        <f t="shared" si="14"/>
        <v/>
      </c>
      <c r="AK40" t="str">
        <f t="shared" si="14"/>
        <v/>
      </c>
      <c r="AL40" t="str">
        <f t="shared" si="14"/>
        <v/>
      </c>
      <c r="AM40" t="str">
        <f t="shared" si="14"/>
        <v/>
      </c>
      <c r="AN40" t="str">
        <f t="shared" si="16"/>
        <v/>
      </c>
      <c r="AO40" t="str">
        <f t="shared" si="16"/>
        <v/>
      </c>
      <c r="AP40" t="str">
        <f t="shared" si="15"/>
        <v/>
      </c>
    </row>
    <row r="41" spans="3:42" x14ac:dyDescent="0.25">
      <c r="C41" t="s">
        <v>25</v>
      </c>
      <c r="D41" s="1">
        <v>43</v>
      </c>
      <c r="F41" t="s">
        <v>66</v>
      </c>
      <c r="G41">
        <v>2</v>
      </c>
      <c r="J41">
        <v>2</v>
      </c>
      <c r="S41">
        <v>5</v>
      </c>
      <c r="T41">
        <v>0</v>
      </c>
      <c r="U41">
        <f t="shared" si="2"/>
        <v>5</v>
      </c>
      <c r="V41">
        <f t="shared" si="3"/>
        <v>4</v>
      </c>
      <c r="W41">
        <f t="shared" si="4"/>
        <v>9</v>
      </c>
      <c r="X41">
        <f t="shared" si="17"/>
        <v>9</v>
      </c>
      <c r="Z41">
        <f t="shared" si="5"/>
        <v>9</v>
      </c>
      <c r="AB41" t="str">
        <f t="shared" si="14"/>
        <v/>
      </c>
      <c r="AC41" t="str">
        <f t="shared" si="14"/>
        <v/>
      </c>
      <c r="AD41" t="str">
        <f t="shared" si="14"/>
        <v/>
      </c>
      <c r="AE41" t="str">
        <f t="shared" si="14"/>
        <v/>
      </c>
      <c r="AF41" t="str">
        <f t="shared" si="14"/>
        <v/>
      </c>
      <c r="AG41" t="str">
        <f t="shared" si="14"/>
        <v/>
      </c>
      <c r="AH41" t="str">
        <f t="shared" si="14"/>
        <v/>
      </c>
      <c r="AI41" t="str">
        <f t="shared" si="14"/>
        <v/>
      </c>
      <c r="AJ41" t="str">
        <f t="shared" si="14"/>
        <v/>
      </c>
      <c r="AK41" t="str">
        <f t="shared" si="14"/>
        <v>50</v>
      </c>
      <c r="AL41" t="str">
        <f t="shared" si="14"/>
        <v/>
      </c>
      <c r="AM41" t="str">
        <f t="shared" si="14"/>
        <v/>
      </c>
      <c r="AN41" t="str">
        <f t="shared" si="16"/>
        <v/>
      </c>
      <c r="AO41" t="str">
        <f t="shared" si="16"/>
        <v/>
      </c>
      <c r="AP41" t="str">
        <f t="shared" si="15"/>
        <v/>
      </c>
    </row>
    <row r="42" spans="3:42" x14ac:dyDescent="0.25">
      <c r="C42" t="s">
        <v>26</v>
      </c>
      <c r="D42" s="1" t="s">
        <v>111</v>
      </c>
      <c r="F42" t="s">
        <v>67</v>
      </c>
      <c r="G42">
        <v>3</v>
      </c>
      <c r="J42">
        <v>3</v>
      </c>
      <c r="S42">
        <v>5</v>
      </c>
      <c r="T42">
        <v>1</v>
      </c>
      <c r="U42">
        <f t="shared" si="2"/>
        <v>5</v>
      </c>
      <c r="V42">
        <f t="shared" si="3"/>
        <v>1</v>
      </c>
      <c r="W42">
        <f t="shared" si="4"/>
        <v>6</v>
      </c>
      <c r="X42">
        <f t="shared" si="17"/>
        <v>6</v>
      </c>
      <c r="Z42">
        <f t="shared" si="5"/>
        <v>6</v>
      </c>
      <c r="AB42" t="str">
        <f t="shared" si="14"/>
        <v/>
      </c>
      <c r="AC42" t="str">
        <f t="shared" si="14"/>
        <v/>
      </c>
      <c r="AD42" t="str">
        <f t="shared" si="14"/>
        <v/>
      </c>
      <c r="AE42" t="str">
        <f t="shared" si="14"/>
        <v/>
      </c>
      <c r="AF42" t="str">
        <f t="shared" si="14"/>
        <v/>
      </c>
      <c r="AG42" t="str">
        <f t="shared" si="14"/>
        <v/>
      </c>
      <c r="AH42" t="str">
        <f t="shared" si="14"/>
        <v>51</v>
      </c>
      <c r="AI42" t="str">
        <f t="shared" si="14"/>
        <v/>
      </c>
      <c r="AJ42" t="str">
        <f t="shared" si="14"/>
        <v/>
      </c>
      <c r="AK42" t="str">
        <f t="shared" si="14"/>
        <v/>
      </c>
      <c r="AL42" t="str">
        <f t="shared" si="14"/>
        <v/>
      </c>
      <c r="AM42" t="str">
        <f t="shared" si="14"/>
        <v/>
      </c>
      <c r="AN42" t="str">
        <f t="shared" si="16"/>
        <v/>
      </c>
      <c r="AO42" t="str">
        <f t="shared" si="16"/>
        <v/>
      </c>
      <c r="AP42" t="str">
        <f t="shared" si="15"/>
        <v/>
      </c>
    </row>
    <row r="43" spans="3:42" x14ac:dyDescent="0.25">
      <c r="C43" t="s">
        <v>27</v>
      </c>
      <c r="D43" s="1" t="s">
        <v>109</v>
      </c>
      <c r="F43" t="s">
        <v>68</v>
      </c>
      <c r="G43">
        <v>4</v>
      </c>
      <c r="J43">
        <v>4</v>
      </c>
      <c r="S43">
        <v>5</v>
      </c>
      <c r="T43">
        <v>2</v>
      </c>
      <c r="U43">
        <f t="shared" si="2"/>
        <v>5</v>
      </c>
      <c r="V43">
        <f t="shared" si="3"/>
        <v>3</v>
      </c>
      <c r="W43">
        <f t="shared" si="4"/>
        <v>8</v>
      </c>
      <c r="X43">
        <f t="shared" si="17"/>
        <v>8</v>
      </c>
      <c r="Z43">
        <f t="shared" si="5"/>
        <v>8</v>
      </c>
      <c r="AB43" t="str">
        <f t="shared" si="14"/>
        <v/>
      </c>
      <c r="AC43" t="str">
        <f t="shared" si="14"/>
        <v/>
      </c>
      <c r="AD43" t="str">
        <f t="shared" si="14"/>
        <v/>
      </c>
      <c r="AE43" t="str">
        <f t="shared" si="14"/>
        <v/>
      </c>
      <c r="AF43" t="str">
        <f t="shared" si="14"/>
        <v/>
      </c>
      <c r="AG43" t="str">
        <f t="shared" si="14"/>
        <v/>
      </c>
      <c r="AH43" t="str">
        <f t="shared" si="14"/>
        <v/>
      </c>
      <c r="AI43" t="str">
        <f t="shared" si="14"/>
        <v/>
      </c>
      <c r="AJ43" t="str">
        <f t="shared" si="14"/>
        <v>52</v>
      </c>
      <c r="AK43" t="str">
        <f t="shared" si="14"/>
        <v/>
      </c>
      <c r="AL43" t="str">
        <f t="shared" si="14"/>
        <v/>
      </c>
      <c r="AM43" t="str">
        <f t="shared" si="14"/>
        <v/>
      </c>
      <c r="AN43" t="str">
        <f t="shared" si="16"/>
        <v/>
      </c>
      <c r="AO43" t="str">
        <f t="shared" si="16"/>
        <v/>
      </c>
      <c r="AP43" t="str">
        <f t="shared" si="15"/>
        <v/>
      </c>
    </row>
    <row r="44" spans="3:42" x14ac:dyDescent="0.25">
      <c r="C44" t="s">
        <v>2</v>
      </c>
      <c r="D44" s="1" t="s">
        <v>107</v>
      </c>
      <c r="F44" t="s">
        <v>69</v>
      </c>
      <c r="G44">
        <v>5</v>
      </c>
      <c r="J44">
        <v>5</v>
      </c>
      <c r="S44">
        <v>5</v>
      </c>
      <c r="T44">
        <v>3</v>
      </c>
      <c r="U44">
        <f t="shared" si="2"/>
        <v>5</v>
      </c>
      <c r="V44">
        <f t="shared" si="3"/>
        <v>2</v>
      </c>
      <c r="W44">
        <f t="shared" si="4"/>
        <v>7</v>
      </c>
      <c r="X44">
        <f t="shared" si="17"/>
        <v>7</v>
      </c>
      <c r="Z44">
        <f t="shared" si="5"/>
        <v>7</v>
      </c>
      <c r="AB44" t="str">
        <f t="shared" si="14"/>
        <v/>
      </c>
      <c r="AC44" t="str">
        <f t="shared" si="14"/>
        <v/>
      </c>
      <c r="AD44" t="str">
        <f t="shared" si="14"/>
        <v/>
      </c>
      <c r="AE44" t="str">
        <f t="shared" si="14"/>
        <v/>
      </c>
      <c r="AF44" t="str">
        <f t="shared" si="14"/>
        <v/>
      </c>
      <c r="AG44" t="str">
        <f t="shared" si="14"/>
        <v/>
      </c>
      <c r="AH44" t="str">
        <f t="shared" si="14"/>
        <v/>
      </c>
      <c r="AI44" t="str">
        <f t="shared" si="14"/>
        <v>53</v>
      </c>
      <c r="AJ44" t="str">
        <f t="shared" si="14"/>
        <v/>
      </c>
      <c r="AK44" t="str">
        <f t="shared" si="14"/>
        <v/>
      </c>
      <c r="AL44" t="str">
        <f t="shared" si="14"/>
        <v/>
      </c>
      <c r="AM44" t="str">
        <f t="shared" si="14"/>
        <v/>
      </c>
      <c r="AN44" t="str">
        <f t="shared" si="16"/>
        <v/>
      </c>
      <c r="AO44" t="str">
        <f t="shared" si="16"/>
        <v/>
      </c>
      <c r="AP44" t="str">
        <f t="shared" si="15"/>
        <v/>
      </c>
    </row>
    <row r="45" spans="3:42" x14ac:dyDescent="0.25">
      <c r="C45" t="s">
        <v>28</v>
      </c>
      <c r="D45" s="1">
        <v>15</v>
      </c>
      <c r="F45" t="s">
        <v>70</v>
      </c>
      <c r="G45">
        <v>6</v>
      </c>
      <c r="S45">
        <v>5</v>
      </c>
      <c r="T45">
        <v>4</v>
      </c>
      <c r="U45">
        <f t="shared" si="2"/>
        <v>5</v>
      </c>
      <c r="V45">
        <f t="shared" si="3"/>
        <v>2</v>
      </c>
      <c r="W45">
        <f t="shared" si="4"/>
        <v>7</v>
      </c>
      <c r="X45">
        <f t="shared" si="17"/>
        <v>7</v>
      </c>
      <c r="Y45">
        <v>2</v>
      </c>
      <c r="Z45">
        <f t="shared" si="5"/>
        <v>9</v>
      </c>
      <c r="AB45" t="str">
        <f t="shared" si="14"/>
        <v/>
      </c>
      <c r="AC45" t="str">
        <f t="shared" si="14"/>
        <v/>
      </c>
      <c r="AD45" t="str">
        <f t="shared" si="14"/>
        <v/>
      </c>
      <c r="AE45" t="str">
        <f t="shared" si="14"/>
        <v/>
      </c>
      <c r="AF45" t="str">
        <f t="shared" si="14"/>
        <v/>
      </c>
      <c r="AG45" t="str">
        <f t="shared" si="14"/>
        <v/>
      </c>
      <c r="AH45" t="str">
        <f t="shared" si="14"/>
        <v/>
      </c>
      <c r="AI45" t="str">
        <f t="shared" si="14"/>
        <v/>
      </c>
      <c r="AJ45" t="str">
        <f t="shared" si="14"/>
        <v/>
      </c>
      <c r="AK45" t="str">
        <f t="shared" si="14"/>
        <v>54</v>
      </c>
      <c r="AL45" t="str">
        <f t="shared" si="14"/>
        <v/>
      </c>
      <c r="AM45" t="str">
        <f t="shared" si="14"/>
        <v/>
      </c>
      <c r="AN45" t="str">
        <f t="shared" si="16"/>
        <v/>
      </c>
      <c r="AO45" t="str">
        <f t="shared" si="16"/>
        <v/>
      </c>
      <c r="AP45" t="str">
        <f t="shared" si="15"/>
        <v/>
      </c>
    </row>
    <row r="46" spans="3:42" x14ac:dyDescent="0.25">
      <c r="C46" t="s">
        <v>29</v>
      </c>
      <c r="D46" s="1">
        <v>16</v>
      </c>
      <c r="S46">
        <v>5</v>
      </c>
      <c r="T46">
        <v>5</v>
      </c>
      <c r="U46">
        <f t="shared" si="2"/>
        <v>5</v>
      </c>
      <c r="V46">
        <f t="shared" si="3"/>
        <v>5</v>
      </c>
      <c r="W46">
        <f t="shared" si="4"/>
        <v>10</v>
      </c>
      <c r="X46">
        <f>W46-2</f>
        <v>8</v>
      </c>
      <c r="Z46">
        <f t="shared" si="5"/>
        <v>8</v>
      </c>
      <c r="AB46" t="str">
        <f t="shared" ref="AB46:AM54" si="18">IF($Z46=AB$5,_xlfn.CONCAT($S46,$T46), "")</f>
        <v/>
      </c>
      <c r="AC46" t="str">
        <f t="shared" si="18"/>
        <v/>
      </c>
      <c r="AD46" t="str">
        <f t="shared" si="18"/>
        <v/>
      </c>
      <c r="AE46" t="str">
        <f t="shared" si="18"/>
        <v/>
      </c>
      <c r="AF46" t="str">
        <f t="shared" si="18"/>
        <v/>
      </c>
      <c r="AG46" t="str">
        <f t="shared" si="18"/>
        <v/>
      </c>
      <c r="AH46" t="str">
        <f t="shared" si="18"/>
        <v/>
      </c>
      <c r="AI46" t="str">
        <f t="shared" si="18"/>
        <v/>
      </c>
      <c r="AJ46" t="str">
        <f t="shared" si="18"/>
        <v>55</v>
      </c>
      <c r="AK46" t="str">
        <f t="shared" si="18"/>
        <v/>
      </c>
      <c r="AL46" t="str">
        <f t="shared" si="18"/>
        <v/>
      </c>
      <c r="AM46" t="str">
        <f t="shared" si="18"/>
        <v/>
      </c>
      <c r="AN46" t="str">
        <f t="shared" si="16"/>
        <v/>
      </c>
      <c r="AO46" t="str">
        <f t="shared" si="16"/>
        <v/>
      </c>
      <c r="AP46" t="str">
        <f t="shared" si="15"/>
        <v/>
      </c>
    </row>
    <row r="47" spans="3:42" x14ac:dyDescent="0.25">
      <c r="C47" t="s">
        <v>30</v>
      </c>
      <c r="D47" s="1">
        <v>30</v>
      </c>
      <c r="S47">
        <v>5</v>
      </c>
      <c r="T47">
        <v>6</v>
      </c>
      <c r="U47">
        <f t="shared" si="2"/>
        <v>5</v>
      </c>
      <c r="V47">
        <f t="shared" si="3"/>
        <v>5</v>
      </c>
      <c r="W47">
        <f t="shared" si="4"/>
        <v>10</v>
      </c>
      <c r="X47">
        <f>W47</f>
        <v>10</v>
      </c>
      <c r="Y47">
        <v>1</v>
      </c>
      <c r="Z47">
        <f t="shared" si="5"/>
        <v>11</v>
      </c>
      <c r="AB47" t="str">
        <f t="shared" si="18"/>
        <v/>
      </c>
      <c r="AC47" t="str">
        <f t="shared" si="18"/>
        <v/>
      </c>
      <c r="AD47" t="str">
        <f t="shared" si="18"/>
        <v/>
      </c>
      <c r="AE47" t="str">
        <f t="shared" si="18"/>
        <v/>
      </c>
      <c r="AF47" t="str">
        <f t="shared" si="18"/>
        <v/>
      </c>
      <c r="AG47" t="str">
        <f t="shared" si="18"/>
        <v/>
      </c>
      <c r="AH47" t="str">
        <f t="shared" si="18"/>
        <v/>
      </c>
      <c r="AI47" t="str">
        <f t="shared" si="18"/>
        <v/>
      </c>
      <c r="AJ47" t="str">
        <f t="shared" si="18"/>
        <v/>
      </c>
      <c r="AK47" t="str">
        <f t="shared" si="18"/>
        <v/>
      </c>
      <c r="AL47" t="str">
        <f t="shared" si="18"/>
        <v/>
      </c>
      <c r="AM47" t="str">
        <f t="shared" si="18"/>
        <v>56</v>
      </c>
      <c r="AN47" t="str">
        <f t="shared" si="16"/>
        <v/>
      </c>
      <c r="AO47" t="str">
        <f t="shared" si="16"/>
        <v/>
      </c>
      <c r="AP47" t="str">
        <f t="shared" si="15"/>
        <v/>
      </c>
    </row>
    <row r="48" spans="3:42" x14ac:dyDescent="0.25">
      <c r="C48" t="s">
        <v>31</v>
      </c>
      <c r="D48" s="1">
        <v>40</v>
      </c>
      <c r="S48">
        <v>6</v>
      </c>
      <c r="T48">
        <v>0</v>
      </c>
      <c r="U48">
        <f t="shared" si="2"/>
        <v>5</v>
      </c>
      <c r="V48">
        <f t="shared" si="3"/>
        <v>4</v>
      </c>
      <c r="W48">
        <f t="shared" si="4"/>
        <v>9</v>
      </c>
      <c r="X48">
        <f t="shared" ref="X48:X53" si="19">W48</f>
        <v>9</v>
      </c>
      <c r="Z48">
        <f t="shared" si="5"/>
        <v>9</v>
      </c>
      <c r="AB48" t="str">
        <f t="shared" si="18"/>
        <v/>
      </c>
      <c r="AC48" t="str">
        <f t="shared" si="18"/>
        <v/>
      </c>
      <c r="AD48" t="str">
        <f t="shared" si="18"/>
        <v/>
      </c>
      <c r="AE48" t="str">
        <f t="shared" si="18"/>
        <v/>
      </c>
      <c r="AF48" t="str">
        <f t="shared" si="18"/>
        <v/>
      </c>
      <c r="AG48" t="str">
        <f t="shared" si="18"/>
        <v/>
      </c>
      <c r="AH48" t="str">
        <f t="shared" si="18"/>
        <v/>
      </c>
      <c r="AI48" t="str">
        <f t="shared" si="18"/>
        <v/>
      </c>
      <c r="AJ48" t="str">
        <f t="shared" si="18"/>
        <v/>
      </c>
      <c r="AK48" t="str">
        <f t="shared" si="18"/>
        <v>60</v>
      </c>
      <c r="AL48" t="str">
        <f t="shared" si="18"/>
        <v/>
      </c>
      <c r="AM48" t="str">
        <f t="shared" si="18"/>
        <v/>
      </c>
      <c r="AN48" t="str">
        <f t="shared" si="16"/>
        <v/>
      </c>
      <c r="AO48" t="str">
        <f t="shared" si="16"/>
        <v/>
      </c>
      <c r="AP48" t="str">
        <f t="shared" si="15"/>
        <v/>
      </c>
    </row>
    <row r="49" spans="2:42" x14ac:dyDescent="0.25">
      <c r="C49" t="s">
        <v>32</v>
      </c>
      <c r="D49" s="1">
        <v>51</v>
      </c>
      <c r="S49">
        <v>6</v>
      </c>
      <c r="T49">
        <v>1</v>
      </c>
      <c r="U49">
        <f t="shared" si="2"/>
        <v>5</v>
      </c>
      <c r="V49">
        <f t="shared" si="3"/>
        <v>1</v>
      </c>
      <c r="W49">
        <f t="shared" si="4"/>
        <v>6</v>
      </c>
      <c r="X49">
        <f t="shared" si="19"/>
        <v>6</v>
      </c>
      <c r="Z49">
        <f t="shared" si="5"/>
        <v>6</v>
      </c>
      <c r="AB49" t="str">
        <f t="shared" si="18"/>
        <v/>
      </c>
      <c r="AC49" t="str">
        <f t="shared" si="18"/>
        <v/>
      </c>
      <c r="AD49" t="str">
        <f t="shared" si="18"/>
        <v/>
      </c>
      <c r="AE49" t="str">
        <f t="shared" si="18"/>
        <v/>
      </c>
      <c r="AF49" t="str">
        <f t="shared" si="18"/>
        <v/>
      </c>
      <c r="AG49" t="str">
        <f t="shared" si="18"/>
        <v/>
      </c>
      <c r="AH49" t="str">
        <f t="shared" si="18"/>
        <v>61</v>
      </c>
      <c r="AI49" t="str">
        <f t="shared" si="18"/>
        <v/>
      </c>
      <c r="AJ49" t="str">
        <f t="shared" si="18"/>
        <v/>
      </c>
      <c r="AK49" t="str">
        <f t="shared" si="18"/>
        <v/>
      </c>
      <c r="AL49" t="str">
        <f t="shared" si="18"/>
        <v/>
      </c>
      <c r="AM49" t="str">
        <f t="shared" si="18"/>
        <v/>
      </c>
      <c r="AN49" t="str">
        <f t="shared" si="16"/>
        <v/>
      </c>
      <c r="AO49" t="str">
        <f t="shared" si="16"/>
        <v/>
      </c>
      <c r="AP49" t="str">
        <f t="shared" si="15"/>
        <v/>
      </c>
    </row>
    <row r="50" spans="2:42" x14ac:dyDescent="0.25">
      <c r="C50" t="s">
        <v>33</v>
      </c>
      <c r="D50" s="1">
        <v>61</v>
      </c>
      <c r="S50">
        <v>6</v>
      </c>
      <c r="T50">
        <v>2</v>
      </c>
      <c r="U50">
        <f t="shared" si="2"/>
        <v>5</v>
      </c>
      <c r="V50">
        <f t="shared" si="3"/>
        <v>3</v>
      </c>
      <c r="W50">
        <f t="shared" si="4"/>
        <v>8</v>
      </c>
      <c r="X50">
        <f t="shared" si="19"/>
        <v>8</v>
      </c>
      <c r="Z50">
        <f t="shared" si="5"/>
        <v>8</v>
      </c>
      <c r="AB50" t="str">
        <f t="shared" si="18"/>
        <v/>
      </c>
      <c r="AC50" t="str">
        <f t="shared" si="18"/>
        <v/>
      </c>
      <c r="AD50" t="str">
        <f t="shared" si="18"/>
        <v/>
      </c>
      <c r="AE50" t="str">
        <f t="shared" si="18"/>
        <v/>
      </c>
      <c r="AF50" t="str">
        <f t="shared" si="18"/>
        <v/>
      </c>
      <c r="AG50" t="str">
        <f t="shared" si="18"/>
        <v/>
      </c>
      <c r="AH50" t="str">
        <f t="shared" si="18"/>
        <v/>
      </c>
      <c r="AI50" t="str">
        <f t="shared" si="18"/>
        <v/>
      </c>
      <c r="AJ50" t="str">
        <f t="shared" si="18"/>
        <v>62</v>
      </c>
      <c r="AK50" t="str">
        <f t="shared" si="18"/>
        <v/>
      </c>
      <c r="AL50" t="str">
        <f t="shared" si="18"/>
        <v/>
      </c>
      <c r="AM50" t="str">
        <f t="shared" si="18"/>
        <v/>
      </c>
      <c r="AN50" t="str">
        <f t="shared" si="16"/>
        <v/>
      </c>
      <c r="AO50" t="str">
        <f t="shared" si="16"/>
        <v/>
      </c>
      <c r="AP50" t="str">
        <f t="shared" si="15"/>
        <v/>
      </c>
    </row>
    <row r="51" spans="2:42" x14ac:dyDescent="0.25">
      <c r="C51" t="s">
        <v>34</v>
      </c>
      <c r="D51" s="1" t="s">
        <v>110</v>
      </c>
      <c r="S51">
        <v>6</v>
      </c>
      <c r="T51">
        <v>3</v>
      </c>
      <c r="U51">
        <f t="shared" si="2"/>
        <v>5</v>
      </c>
      <c r="V51">
        <f t="shared" si="3"/>
        <v>2</v>
      </c>
      <c r="W51">
        <f t="shared" si="4"/>
        <v>7</v>
      </c>
      <c r="X51">
        <f t="shared" si="19"/>
        <v>7</v>
      </c>
      <c r="Y51">
        <v>2</v>
      </c>
      <c r="Z51">
        <f t="shared" si="5"/>
        <v>9</v>
      </c>
      <c r="AB51" t="str">
        <f t="shared" si="18"/>
        <v/>
      </c>
      <c r="AC51" t="str">
        <f t="shared" si="18"/>
        <v/>
      </c>
      <c r="AD51" t="str">
        <f t="shared" si="18"/>
        <v/>
      </c>
      <c r="AE51" t="str">
        <f t="shared" si="18"/>
        <v/>
      </c>
      <c r="AF51" t="str">
        <f t="shared" si="18"/>
        <v/>
      </c>
      <c r="AG51" t="str">
        <f t="shared" si="18"/>
        <v/>
      </c>
      <c r="AH51" t="str">
        <f t="shared" si="18"/>
        <v/>
      </c>
      <c r="AI51" t="str">
        <f t="shared" si="18"/>
        <v/>
      </c>
      <c r="AJ51" t="str">
        <f t="shared" si="18"/>
        <v/>
      </c>
      <c r="AK51" t="str">
        <f t="shared" si="18"/>
        <v>63</v>
      </c>
      <c r="AL51" t="str">
        <f t="shared" si="18"/>
        <v/>
      </c>
      <c r="AM51" t="str">
        <f t="shared" si="18"/>
        <v/>
      </c>
      <c r="AN51" t="str">
        <f t="shared" si="16"/>
        <v/>
      </c>
      <c r="AO51" t="str">
        <f t="shared" si="16"/>
        <v/>
      </c>
      <c r="AP51" t="str">
        <f t="shared" si="15"/>
        <v/>
      </c>
    </row>
    <row r="52" spans="2:42" x14ac:dyDescent="0.25">
      <c r="D52" s="1"/>
      <c r="S52">
        <v>6</v>
      </c>
      <c r="T52">
        <v>4</v>
      </c>
      <c r="U52">
        <f t="shared" si="2"/>
        <v>5</v>
      </c>
      <c r="V52">
        <f t="shared" si="3"/>
        <v>2</v>
      </c>
      <c r="W52">
        <f t="shared" si="4"/>
        <v>7</v>
      </c>
      <c r="X52">
        <f t="shared" si="19"/>
        <v>7</v>
      </c>
      <c r="Z52">
        <f t="shared" si="5"/>
        <v>7</v>
      </c>
      <c r="AB52" t="str">
        <f t="shared" si="18"/>
        <v/>
      </c>
      <c r="AC52" t="str">
        <f t="shared" si="18"/>
        <v/>
      </c>
      <c r="AD52" t="str">
        <f t="shared" si="18"/>
        <v/>
      </c>
      <c r="AE52" t="str">
        <f t="shared" si="18"/>
        <v/>
      </c>
      <c r="AF52" t="str">
        <f t="shared" si="18"/>
        <v/>
      </c>
      <c r="AG52" t="str">
        <f t="shared" si="18"/>
        <v/>
      </c>
      <c r="AH52" t="str">
        <f t="shared" si="18"/>
        <v/>
      </c>
      <c r="AI52" t="str">
        <f t="shared" si="18"/>
        <v>64</v>
      </c>
      <c r="AJ52" t="str">
        <f t="shared" si="18"/>
        <v/>
      </c>
      <c r="AK52" t="str">
        <f t="shared" si="18"/>
        <v/>
      </c>
      <c r="AL52" t="str">
        <f t="shared" si="18"/>
        <v/>
      </c>
      <c r="AM52" t="str">
        <f t="shared" si="18"/>
        <v/>
      </c>
      <c r="AN52" t="str">
        <f t="shared" si="16"/>
        <v/>
      </c>
      <c r="AO52" t="str">
        <f t="shared" si="16"/>
        <v/>
      </c>
      <c r="AP52" t="str">
        <f t="shared" si="15"/>
        <v/>
      </c>
    </row>
    <row r="53" spans="2:42" x14ac:dyDescent="0.25">
      <c r="C53" t="s">
        <v>35</v>
      </c>
      <c r="D53" s="1">
        <v>22</v>
      </c>
      <c r="S53">
        <v>6</v>
      </c>
      <c r="T53">
        <v>5</v>
      </c>
      <c r="U53">
        <f t="shared" si="2"/>
        <v>5</v>
      </c>
      <c r="V53">
        <f t="shared" si="3"/>
        <v>5</v>
      </c>
      <c r="W53">
        <f t="shared" si="4"/>
        <v>10</v>
      </c>
      <c r="X53">
        <f t="shared" si="19"/>
        <v>10</v>
      </c>
      <c r="Y53">
        <v>1</v>
      </c>
      <c r="Z53">
        <f t="shared" si="5"/>
        <v>11</v>
      </c>
      <c r="AB53" t="str">
        <f t="shared" si="18"/>
        <v/>
      </c>
      <c r="AC53" t="str">
        <f t="shared" si="18"/>
        <v/>
      </c>
      <c r="AD53" t="str">
        <f t="shared" si="18"/>
        <v/>
      </c>
      <c r="AE53" t="str">
        <f t="shared" si="18"/>
        <v/>
      </c>
      <c r="AF53" t="str">
        <f t="shared" si="18"/>
        <v/>
      </c>
      <c r="AG53" t="str">
        <f t="shared" si="18"/>
        <v/>
      </c>
      <c r="AH53" t="str">
        <f t="shared" si="18"/>
        <v/>
      </c>
      <c r="AI53" t="str">
        <f t="shared" si="18"/>
        <v/>
      </c>
      <c r="AJ53" t="str">
        <f t="shared" si="18"/>
        <v/>
      </c>
      <c r="AK53" t="str">
        <f t="shared" si="18"/>
        <v/>
      </c>
      <c r="AL53" t="str">
        <f t="shared" si="18"/>
        <v/>
      </c>
      <c r="AM53" t="str">
        <f t="shared" si="18"/>
        <v>65</v>
      </c>
      <c r="AN53" t="str">
        <f t="shared" si="16"/>
        <v/>
      </c>
      <c r="AO53" t="str">
        <f t="shared" si="16"/>
        <v/>
      </c>
      <c r="AP53" t="str">
        <f t="shared" si="15"/>
        <v/>
      </c>
    </row>
    <row r="54" spans="2:42" x14ac:dyDescent="0.25">
      <c r="C54" t="s">
        <v>36</v>
      </c>
      <c r="D54" s="1">
        <v>20</v>
      </c>
      <c r="S54">
        <v>6</v>
      </c>
      <c r="T54">
        <v>6</v>
      </c>
      <c r="U54">
        <f t="shared" si="2"/>
        <v>5</v>
      </c>
      <c r="V54">
        <f t="shared" si="3"/>
        <v>5</v>
      </c>
      <c r="W54">
        <f t="shared" si="4"/>
        <v>10</v>
      </c>
      <c r="X54">
        <f>W54-2</f>
        <v>8</v>
      </c>
      <c r="Z54">
        <f t="shared" si="5"/>
        <v>8</v>
      </c>
      <c r="AB54" t="str">
        <f t="shared" si="18"/>
        <v/>
      </c>
      <c r="AC54" t="str">
        <f t="shared" si="18"/>
        <v/>
      </c>
      <c r="AD54" t="str">
        <f t="shared" si="18"/>
        <v/>
      </c>
      <c r="AE54" t="str">
        <f t="shared" si="18"/>
        <v/>
      </c>
      <c r="AF54" t="str">
        <f t="shared" si="18"/>
        <v/>
      </c>
      <c r="AG54" t="str">
        <f t="shared" si="18"/>
        <v/>
      </c>
      <c r="AH54" t="str">
        <f t="shared" si="18"/>
        <v/>
      </c>
      <c r="AI54" t="str">
        <f t="shared" si="18"/>
        <v/>
      </c>
      <c r="AJ54" t="str">
        <f t="shared" si="18"/>
        <v>66</v>
      </c>
      <c r="AK54" t="str">
        <f t="shared" si="18"/>
        <v/>
      </c>
      <c r="AL54" t="str">
        <f t="shared" si="18"/>
        <v/>
      </c>
      <c r="AM54" t="str">
        <f t="shared" si="18"/>
        <v/>
      </c>
      <c r="AN54" t="str">
        <f t="shared" si="16"/>
        <v/>
      </c>
      <c r="AO54" t="str">
        <f t="shared" si="16"/>
        <v/>
      </c>
      <c r="AP54" t="str">
        <f t="shared" si="15"/>
        <v/>
      </c>
    </row>
    <row r="55" spans="2:42" x14ac:dyDescent="0.25">
      <c r="C55" t="s">
        <v>41</v>
      </c>
      <c r="D55" s="1">
        <v>35</v>
      </c>
    </row>
    <row r="56" spans="2:42" x14ac:dyDescent="0.25">
      <c r="C56" t="s">
        <v>39</v>
      </c>
      <c r="D56" s="1">
        <v>36</v>
      </c>
      <c r="AB56" t="str">
        <f>_xlfn.TEXTJOIN(", ",TRUE, AB6:AB54)</f>
        <v>11</v>
      </c>
      <c r="AC56" t="str">
        <f t="shared" ref="AC56:AM56" si="20">_xlfn.TEXTJOIN(", ",TRUE, AC6:AC54)</f>
        <v/>
      </c>
      <c r="AD56" t="str">
        <f t="shared" si="20"/>
        <v>33, 44</v>
      </c>
      <c r="AE56" t="str">
        <f t="shared" si="20"/>
        <v>13, 14, 31, 41</v>
      </c>
      <c r="AF56" t="str">
        <f t="shared" si="20"/>
        <v>12, 21, 22</v>
      </c>
      <c r="AG56" t="str">
        <f t="shared" si="20"/>
        <v>01, 10, 23, 24, 32, 34, 42, 43</v>
      </c>
      <c r="AH56" t="str">
        <f t="shared" si="20"/>
        <v>00, 03, 04, 15, 16, 30, 40, 51, 61</v>
      </c>
      <c r="AI56" t="str">
        <f t="shared" si="20"/>
        <v>02, 20, 35, 46, 53, 64</v>
      </c>
      <c r="AJ56" t="str">
        <f t="shared" si="20"/>
        <v>25, 26, 52, 55, 62, 66</v>
      </c>
      <c r="AK56" t="str">
        <f t="shared" si="20"/>
        <v>05, 06, 36, 45, 50, 54, 60, 63</v>
      </c>
      <c r="AL56" t="str">
        <f t="shared" si="20"/>
        <v/>
      </c>
      <c r="AM56" t="str">
        <f t="shared" si="20"/>
        <v>56, 65</v>
      </c>
      <c r="AN56" t="str">
        <f t="shared" ref="AN56" si="21">_xlfn.CONCAT((AN6:AN54))</f>
        <v/>
      </c>
    </row>
    <row r="57" spans="2:42" x14ac:dyDescent="0.25">
      <c r="C57" t="s">
        <v>40</v>
      </c>
      <c r="D57" s="1" t="s">
        <v>112</v>
      </c>
    </row>
    <row r="58" spans="2:42" x14ac:dyDescent="0.25">
      <c r="C58" t="s">
        <v>81</v>
      </c>
      <c r="D58" s="2">
        <v>46</v>
      </c>
    </row>
    <row r="60" spans="2:42" x14ac:dyDescent="0.25">
      <c r="B60" t="s">
        <v>75</v>
      </c>
      <c r="C60" t="str">
        <f>_xlfn.TEXTJOIN(", ", TRUE,AB56:AM56)</f>
        <v>11, 33, 44, 13, 14, 31, 41, 12, 21, 22, 01, 10, 23, 24, 32, 34, 42, 43, 00, 03, 04, 15, 16, 30, 40, 51, 61, 02, 20, 35, 46, 53, 64, 25, 26, 52, 55, 62, 66, 05, 06, 36, 45, 50, 54, 60, 63, 56, 65</v>
      </c>
    </row>
    <row r="64" spans="2:42" x14ac:dyDescent="0.25">
      <c r="K64" t="s">
        <v>82</v>
      </c>
      <c r="M64" t="s">
        <v>91</v>
      </c>
      <c r="N64" t="s">
        <v>106</v>
      </c>
      <c r="O64" t="s">
        <v>92</v>
      </c>
      <c r="Q64" t="s">
        <v>116</v>
      </c>
    </row>
    <row r="65" spans="11:17" x14ac:dyDescent="0.25">
      <c r="K65" t="s">
        <v>83</v>
      </c>
      <c r="M65">
        <v>0</v>
      </c>
      <c r="N65">
        <v>0</v>
      </c>
      <c r="O65" t="s">
        <v>20</v>
      </c>
      <c r="Q65" t="s">
        <v>117</v>
      </c>
    </row>
    <row r="66" spans="11:17" x14ac:dyDescent="0.25">
      <c r="K66" t="s">
        <v>84</v>
      </c>
      <c r="M66">
        <v>1</v>
      </c>
      <c r="N66">
        <v>1</v>
      </c>
      <c r="O66" t="s">
        <v>21</v>
      </c>
      <c r="Q66" t="s">
        <v>118</v>
      </c>
    </row>
    <row r="67" spans="11:17" x14ac:dyDescent="0.25">
      <c r="K67" t="s">
        <v>85</v>
      </c>
      <c r="M67">
        <v>2</v>
      </c>
      <c r="N67">
        <v>2</v>
      </c>
      <c r="O67" t="s">
        <v>28</v>
      </c>
      <c r="Q67" t="s">
        <v>119</v>
      </c>
    </row>
    <row r="68" spans="11:17" x14ac:dyDescent="0.25">
      <c r="K68" t="s">
        <v>86</v>
      </c>
      <c r="M68">
        <v>3</v>
      </c>
      <c r="N68">
        <v>3</v>
      </c>
      <c r="O68" t="s">
        <v>15</v>
      </c>
      <c r="Q68" t="s">
        <v>120</v>
      </c>
    </row>
    <row r="69" spans="11:17" x14ac:dyDescent="0.25">
      <c r="K69" t="s">
        <v>87</v>
      </c>
      <c r="M69">
        <v>4</v>
      </c>
      <c r="N69">
        <v>4</v>
      </c>
      <c r="O69" t="s">
        <v>26</v>
      </c>
      <c r="Q69" t="s">
        <v>121</v>
      </c>
    </row>
    <row r="70" spans="11:17" x14ac:dyDescent="0.25">
      <c r="K70" t="s">
        <v>88</v>
      </c>
      <c r="M70">
        <v>5</v>
      </c>
      <c r="N70">
        <v>5</v>
      </c>
      <c r="O70" t="s">
        <v>18</v>
      </c>
      <c r="Q70" t="s">
        <v>122</v>
      </c>
    </row>
    <row r="71" spans="11:17" x14ac:dyDescent="0.25">
      <c r="K71" t="s">
        <v>89</v>
      </c>
      <c r="M71">
        <v>6</v>
      </c>
      <c r="N71">
        <v>6</v>
      </c>
      <c r="O71" t="s">
        <v>22</v>
      </c>
      <c r="Q71" t="s">
        <v>123</v>
      </c>
    </row>
    <row r="73" spans="11:17" x14ac:dyDescent="0.25">
      <c r="K73" t="s">
        <v>96</v>
      </c>
      <c r="O73" t="s">
        <v>25</v>
      </c>
      <c r="Q73" t="s">
        <v>124</v>
      </c>
    </row>
    <row r="76" spans="11:17" x14ac:dyDescent="0.25">
      <c r="K76" t="s">
        <v>125</v>
      </c>
      <c r="Q76" t="s">
        <v>126</v>
      </c>
    </row>
  </sheetData>
  <phoneticPr fontId="2" type="noConversion"/>
  <conditionalFormatting sqref="D26:D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Briellyn</dc:creator>
  <cp:lastModifiedBy>Briellyn Braithwaite</cp:lastModifiedBy>
  <dcterms:created xsi:type="dcterms:W3CDTF">2015-06-05T18:17:20Z</dcterms:created>
  <dcterms:modified xsi:type="dcterms:W3CDTF">2026-07-02T21:57:56Z</dcterms:modified>
</cp:coreProperties>
</file>